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 sheetId="1" r:id="rId4"/>
    <sheet state="visible" name="Sheet14" sheetId="2" r:id="rId5"/>
    <sheet state="visible" name="Credentials" sheetId="3" r:id="rId6"/>
    <sheet state="visible" name="Data" sheetId="4" r:id="rId7"/>
    <sheet state="visible" name="MRK" sheetId="5" r:id="rId8"/>
    <sheet state="visible" name="Mehadi" sheetId="6" r:id="rId9"/>
    <sheet state="visible" name="Mashruf" sheetId="7" r:id="rId10"/>
    <sheet state="visible" name="Mashruf-2" sheetId="8" r:id="rId11"/>
    <sheet state="visible" name="Nusrat" sheetId="9" r:id="rId12"/>
    <sheet state="visible" name="Dipto" sheetId="10" r:id="rId13"/>
    <sheet state="visible" name="Lina" sheetId="11" r:id="rId14"/>
    <sheet state="visible" name="Lina-2" sheetId="12" r:id="rId15"/>
    <sheet state="visible" name="Annoor" sheetId="13" r:id="rId16"/>
    <sheet state="visible" name="Annoor-2" sheetId="14" r:id="rId17"/>
    <sheet state="visible" name="STA" sheetId="15" r:id="rId18"/>
  </sheets>
  <definedNames/>
  <calcPr/>
</workbook>
</file>

<file path=xl/sharedStrings.xml><?xml version="1.0" encoding="utf-8"?>
<sst xmlns="http://schemas.openxmlformats.org/spreadsheetml/2006/main" count="99" uniqueCount="89">
  <si>
    <t>Path</t>
  </si>
  <si>
    <t>Tab</t>
  </si>
  <si>
    <t>Count</t>
  </si>
  <si>
    <t>Duration</t>
  </si>
  <si>
    <t>URL</t>
  </si>
  <si>
    <t>collect/miscellaneous/Dhaka FM</t>
  </si>
  <si>
    <t>Lina</t>
  </si>
  <si>
    <t>https://docs.google.com/spreadsheets/d/1MWa6Tvw4zXRkw-sT1Z4FkDvYEbXl6LisfYmRs4QaUgo/edit?gid=1682353242#gid=1682353242</t>
  </si>
  <si>
    <t>collect/read/YouTube/Bangladesh Television (BTV)</t>
  </si>
  <si>
    <t>MRK</t>
  </si>
  <si>
    <t>https://docs.google.com/spreadsheets/d/1zG1DWj8Uo2fz0FrO7K3VPRZJmjbogsoOJ6_8dRxiwFM/edit?gid=1682353242#gid=1682353242</t>
  </si>
  <si>
    <t>collect/read/YouTube/Sangsad TV</t>
  </si>
  <si>
    <t>Dipto</t>
  </si>
  <si>
    <t>https://docs.google.com/spreadsheets/d/1SAKeZ4GYS3XtJ3VK37ysMZSatkqfS7NH3Cp-nBziPqw/edit?gid=1682353242#gid=1682353242</t>
  </si>
  <si>
    <t>collect/spontaneous/Dhaka FM</t>
  </si>
  <si>
    <t>Mehadi</t>
  </si>
  <si>
    <t>https://docs.google.com/spreadsheets/d/1V6JmdOW71JtSp5DOttFFQLzJt2Wil6ZQ8f10dGOIJ7k/edit?gid=0#gid=0</t>
  </si>
  <si>
    <t>collect/spontaneous/Dhaka FM/(বি কুল) BC - PROGRAM</t>
  </si>
  <si>
    <t>Mashruf-2</t>
  </si>
  <si>
    <t>collect/spontaneous/Dhaka FM/(হেল্প লাইন) HL - PROGRAM</t>
  </si>
  <si>
    <t>Nusrat</t>
  </si>
  <si>
    <t>https://docs.google.com/spreadsheets/d/1LWrkYRWqqjhjgxdMwjQ1Qm_gmcuQKclfv_z_HOhGK4I/edit?gid=1682353242#gid=1682353242</t>
  </si>
  <si>
    <t>collect/spontaneous/Facebook/BangladeshBetarNews</t>
  </si>
  <si>
    <t>Annoor</t>
  </si>
  <si>
    <t>https://docs.google.com/spreadsheets/d/1sNsvTEjhFAxLcwsjZ1J7CaU0DXftbwyAHeDmpZqDOAI/edit?gid=1682353242#gid=1682353242</t>
  </si>
  <si>
    <t>collect/spontaneous/YouTube/a2i Bangladesh</t>
  </si>
  <si>
    <t>STA</t>
  </si>
  <si>
    <t>https://docs.google.com/spreadsheets/d/1UBnDQLBQan7R0Zm5qO8tuyav0U8mcd9uVBMEOwQuf6E/edit?gid=1682353242#gid=1682353242</t>
  </si>
  <si>
    <t>collect/spontaneous/YouTube/Bangladesh Open University (BOU)</t>
  </si>
  <si>
    <t>Annoor-2</t>
  </si>
  <si>
    <t>collect/spontaneous/YouTube/Chapainawabganj TV</t>
  </si>
  <si>
    <t>Lina-2</t>
  </si>
  <si>
    <t>collect\read\YouTube\TORONGO</t>
  </si>
  <si>
    <t>Mashruf</t>
  </si>
  <si>
    <t>https://docs.google.com/spreadsheets/d/1PtILyyZqZN6xk8xuQzHIvifzPUCl9KOtv8lTbbnVLPo/edit?gid=1682353242#gid=1682353242</t>
  </si>
  <si>
    <t>Hours</t>
  </si>
  <si>
    <t>Instructions</t>
  </si>
  <si>
    <t>https://docs.google.com/document/d/1Bt2t5DqETxGsRZ6ucLhyW4Lxm9W8TV8tEAb9PES1SRg/edit?tab=t.0</t>
  </si>
  <si>
    <t xml:space="preserve">Here’s a video of how to use the tool : </t>
  </si>
  <si>
    <t>https://drive.google.com/file/d/1GZysFwDonYXQyT1YGkkJ8TwTSeMLhTNp/view?usp=sharing</t>
  </si>
  <si>
    <t>mehadi</t>
  </si>
  <si>
    <t>Kx9#mP2vL8qR</t>
  </si>
  <si>
    <t>annoor</t>
  </si>
  <si>
    <t>Zt4$nW7jF3xY</t>
  </si>
  <si>
    <t>https://docs.google.com/spreadsheets/d/1sNsvTEjhFAxLcwsjZ1J7CaU0DXftbwyAHeDmpZqDOAI/edit?gid=0#gid=0</t>
  </si>
  <si>
    <t>lina</t>
  </si>
  <si>
    <t>Bv6&amp;hQ9sM1kE</t>
  </si>
  <si>
    <t>https://docs.google.com/spreadsheets/d/1MWa6Tvw4zXRkw-sT1Z4FkDvYEbXl6LisfYmRs4QaUgo/edit?gid=0#gid=0</t>
  </si>
  <si>
    <t>rar</t>
  </si>
  <si>
    <t>Gp3*rT8cN5wA</t>
  </si>
  <si>
    <t>dipto</t>
  </si>
  <si>
    <t>Jm7@uV2bX4zD</t>
  </si>
  <si>
    <t>https://docs.google.com/spreadsheets/d/1SAKeZ4GYS3XtJ3VK37ysMZSatkqfS7NH3Cp-nBziPqw/edit?gid=0#gid=0</t>
  </si>
  <si>
    <t>sta</t>
  </si>
  <si>
    <t>Qw5!yH8fK9pL</t>
  </si>
  <si>
    <t>collect/spontaneous/YouTube</t>
  </si>
  <si>
    <t>https://docs.google.com/spreadsheets/d/1UBnDQLBQan7R0Zm5qO8tuyav0U8mcd9uVBMEOwQuf6E/edit?gid=0#gid=0</t>
  </si>
  <si>
    <t>mrk</t>
  </si>
  <si>
    <t>Cx2%eR6gJ7nM</t>
  </si>
  <si>
    <t>https://docs.google.com/spreadsheets/d/1zG1DWj8Uo2fz0FrO7K3VPRZJmjbogsoOJ6_8dRxiwFM/edit?gid=0#gid=0</t>
  </si>
  <si>
    <t>fa</t>
  </si>
  <si>
    <t>Fs4^iO1tY3vB</t>
  </si>
  <si>
    <t>demo</t>
  </si>
  <si>
    <t>Nz8&amp;aU5hW2qS</t>
  </si>
  <si>
    <t>https://docs.google.com/spreadsheets/d/1PtILyyZqZN6xk8xuQzHIvifzPUCl9KOtv8lTbbnVLPo/edit?gid=0#gid=0</t>
  </si>
  <si>
    <t>npm start</t>
  </si>
  <si>
    <t>cloudflared tunnel run stt</t>
  </si>
  <si>
    <t>Read</t>
  </si>
  <si>
    <t>Bangladesh Television</t>
  </si>
  <si>
    <t>Torongo</t>
  </si>
  <si>
    <t>Sangsad TV</t>
  </si>
  <si>
    <t>Spontaneous</t>
  </si>
  <si>
    <t>Dhaka FM</t>
  </si>
  <si>
    <t>Facebook</t>
  </si>
  <si>
    <t>Youtube</t>
  </si>
  <si>
    <t>Miscellaneous</t>
  </si>
  <si>
    <t>Filename</t>
  </si>
  <si>
    <t>Duration (seconds)</t>
  </si>
  <si>
    <t>Text</t>
  </si>
  <si>
    <t>Correct</t>
  </si>
  <si>
    <t>Word Missing</t>
  </si>
  <si>
    <t>Spelling Mistake</t>
  </si>
  <si>
    <t>Word Accuracy</t>
  </si>
  <si>
    <t>Grammar &amp; Syntax</t>
  </si>
  <si>
    <t>Proper Noun Recognition</t>
  </si>
  <si>
    <t>Punctuation &amp; Formatting</t>
  </si>
  <si>
    <t>Audio Quality</t>
  </si>
  <si>
    <r>
      <rPr>
        <rFont val="Arial"/>
        <b/>
        <color theme="1"/>
      </rPr>
      <t>Language Content</t>
    </r>
    <r>
      <rPr>
        <rFont val="Arial"/>
        <color theme="1"/>
      </rPr>
      <t xml:space="preserve">
(if contains more than 10% foreign language)</t>
    </r>
  </si>
  <si>
    <t>Notes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</si>
</sst>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u/>
      <color rgb="FF0000FF"/>
    </font>
    <font>
      <color theme="1"/>
      <name val="Arial"/>
    </font>
    <font>
      <u/>
      <color rgb="FF0000FF"/>
      <name val="Arial"/>
    </font>
    <font>
      <sz val="11.0"/>
      <color theme="1"/>
      <name val="Arial"/>
    </font>
    <font>
      <u/>
      <color rgb="FF1155CC"/>
      <name val="Arial"/>
    </font>
    <font>
      <u/>
      <color rgb="FF1155CC"/>
      <name val="Arial"/>
    </font>
    <font>
      <u/>
      <color rgb="FF1155CC"/>
      <name val="Arial"/>
    </font>
    <font>
      <b/>
      <color theme="1"/>
      <name val="Arial"/>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vertical="bottom"/>
    </xf>
    <xf borderId="0" fillId="0" fontId="5" numFmtId="0" xfId="0" applyAlignment="1" applyFont="1">
      <alignment readingOrder="0"/>
    </xf>
    <xf borderId="0" fillId="2" fontId="3" numFmtId="0" xfId="0" applyAlignment="1" applyFill="1" applyFont="1">
      <alignment vertical="bottom"/>
    </xf>
    <xf borderId="0" fillId="2" fontId="6" numFmtId="0" xfId="0" applyAlignment="1" applyFont="1">
      <alignment vertical="bottom"/>
    </xf>
    <xf borderId="0" fillId="2" fontId="3" numFmtId="0" xfId="0" applyAlignment="1" applyFont="1">
      <alignment vertical="bottom"/>
    </xf>
    <xf borderId="0" fillId="0" fontId="3" numFmtId="0" xfId="0" applyAlignment="1" applyFont="1">
      <alignment vertical="bottom"/>
    </xf>
    <xf borderId="0" fillId="0" fontId="7" numFmtId="0" xfId="0" applyAlignment="1" applyFont="1">
      <alignment vertical="bottom"/>
    </xf>
    <xf borderId="0" fillId="2" fontId="8" numFmtId="0" xfId="0" applyAlignment="1" applyFont="1">
      <alignment vertical="bottom"/>
    </xf>
    <xf borderId="0" fillId="0" fontId="9" numFmtId="0" xfId="0" applyAlignment="1" applyFont="1">
      <alignment horizontal="center" shrinkToFit="0" vertical="bottom" wrapText="1"/>
    </xf>
    <xf borderId="0" fillId="0" fontId="9" numFmtId="0" xfId="0" applyAlignment="1" applyFont="1">
      <alignment shrinkToFit="0" vertical="bottom" wrapText="1"/>
    </xf>
    <xf borderId="0" fillId="0" fontId="9" numFmtId="0" xfId="0" applyAlignment="1" applyFont="1">
      <alignment vertical="bottom"/>
    </xf>
    <xf borderId="0" fillId="0" fontId="9" numFmtId="0" xfId="0" applyAlignment="1" applyFont="1">
      <alignment shrinkToFit="0" wrapText="1"/>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0"/>
    </xf>
    <xf borderId="0" fillId="0" fontId="3" numFmtId="0" xfId="0" applyAlignment="1" applyFont="1">
      <alignment readingOrder="0" shrinkToFit="0" vertical="bottom" wrapText="1"/>
    </xf>
    <xf borderId="0" fillId="0" fontId="3" numFmtId="0" xfId="0" applyAlignment="1" applyFont="1">
      <alignment horizontal="right" readingOrder="0" vertical="bottom"/>
    </xf>
    <xf borderId="0" fillId="0" fontId="3" numFmtId="0" xfId="0" applyAlignment="1" applyFont="1">
      <alignment readingOrder="0" shrinkToFit="0" wrapText="1"/>
    </xf>
    <xf borderId="0" fillId="0" fontId="3" numFmtId="0" xfId="0" applyAlignment="1" applyFont="1">
      <alignment horizontal="center" vertical="bottom"/>
    </xf>
    <xf borderId="0" fillId="0" fontId="3" numFmtId="0" xfId="0" applyAlignment="1" applyFont="1">
      <alignment horizontal="center" shrinkToFit="0" vertical="bottom" wrapText="0"/>
    </xf>
    <xf borderId="0" fillId="0" fontId="3" numFmtId="0" xfId="0" applyAlignment="1" applyFont="1">
      <alignment shrinkToFit="0" vertical="bottom" wrapText="1"/>
    </xf>
    <xf borderId="0" fillId="0" fontId="3" numFmtId="0" xfId="0" applyAlignment="1" applyFont="1">
      <alignment horizontal="right" vertical="bottom"/>
    </xf>
    <xf borderId="0" fillId="0" fontId="3" numFmtId="0" xfId="0" applyAlignment="1" applyFont="1">
      <alignment shrinkToFit="0" wrapText="1"/>
    </xf>
    <xf borderId="0" fillId="0" fontId="3" numFmtId="20" xfId="0" applyAlignment="1" applyFont="1" applyNumberFormat="1">
      <alignment horizontal="center" shrinkToFit="0" vertical="bottom" wrapText="0"/>
    </xf>
    <xf borderId="0" fillId="0" fontId="3" numFmtId="0" xfId="0" applyFont="1"/>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MWa6Tvw4zXRkw-sT1Z4FkDvYEbXl6LisfYmRs4QaUgo/edit?gid=1682353242" TargetMode="External"/><Relationship Id="rId2" Type="http://schemas.openxmlformats.org/officeDocument/2006/relationships/hyperlink" Target="https://docs.google.com/spreadsheets/d/1zG1DWj8Uo2fz0FrO7K3VPRZJmjbogsoOJ6_8dRxiwFM/edit?gid=1682353242" TargetMode="External"/><Relationship Id="rId3" Type="http://schemas.openxmlformats.org/officeDocument/2006/relationships/hyperlink" Target="https://docs.google.com/spreadsheets/d/1SAKeZ4GYS3XtJ3VK37ysMZSatkqfS7NH3Cp-nBziPqw/edit?gid=1682353242" TargetMode="External"/><Relationship Id="rId4" Type="http://schemas.openxmlformats.org/officeDocument/2006/relationships/hyperlink" Target="https://docs.google.com/spreadsheets/d/1V6JmdOW71JtSp5DOttFFQLzJt2Wil6ZQ8f10dGOIJ7k/edit?gid=0" TargetMode="External"/><Relationship Id="rId11" Type="http://schemas.openxmlformats.org/officeDocument/2006/relationships/drawing" Target="../drawings/drawing1.xml"/><Relationship Id="rId10" Type="http://schemas.openxmlformats.org/officeDocument/2006/relationships/hyperlink" Target="https://docs.google.com/spreadsheets/d/1PtILyyZqZN6xk8xuQzHIvifzPUCl9KOtv8lTbbnVLPo/edit?gid=1682353242" TargetMode="External"/><Relationship Id="rId9" Type="http://schemas.openxmlformats.org/officeDocument/2006/relationships/hyperlink" Target="https://docs.google.com/spreadsheets/d/1MWa6Tvw4zXRkw-sT1Z4FkDvYEbXl6LisfYmRs4QaUgo/edit?gid=1682353242" TargetMode="External"/><Relationship Id="rId5" Type="http://schemas.openxmlformats.org/officeDocument/2006/relationships/hyperlink" Target="https://docs.google.com/spreadsheets/d/1LWrkYRWqqjhjgxdMwjQ1Qm_gmcuQKclfv_z_HOhGK4I/edit?gid=1682353242" TargetMode="External"/><Relationship Id="rId6" Type="http://schemas.openxmlformats.org/officeDocument/2006/relationships/hyperlink" Target="https://docs.google.com/spreadsheets/d/1sNsvTEjhFAxLcwsjZ1J7CaU0DXftbwyAHeDmpZqDOAI/edit?gid=1682353242" TargetMode="External"/><Relationship Id="rId7" Type="http://schemas.openxmlformats.org/officeDocument/2006/relationships/hyperlink" Target="https://docs.google.com/spreadsheets/d/1UBnDQLBQan7R0Zm5qO8tuyav0U8mcd9uVBMEOwQuf6E/edit?gid=1682353242" TargetMode="External"/><Relationship Id="rId8" Type="http://schemas.openxmlformats.org/officeDocument/2006/relationships/hyperlink" Target="https://docs.google.com/spreadsheets/d/1sNsvTEjhFAxLcwsjZ1J7CaU0DXftbwyAHeDmpZqDOAI/edit?gid=168235324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Bt2t5DqETxGsRZ6ucLhyW4Lxm9W8TV8tEAb9PES1SRg/edit?tab=t.0" TargetMode="External"/><Relationship Id="rId2" Type="http://schemas.openxmlformats.org/officeDocument/2006/relationships/hyperlink" Target="https://drive.google.com/file/d/1GZysFwDonYXQyT1YGkkJ8TwTSeMLhTNp/view?usp=sharing" TargetMode="External"/><Relationship Id="rId3" Type="http://schemas.openxmlformats.org/officeDocument/2006/relationships/hyperlink" Target="https://docs.google.com/spreadsheets/d/1V6JmdOW71JtSp5DOttFFQLzJt2Wil6ZQ8f10dGOIJ7k/edit?gid=0" TargetMode="External"/><Relationship Id="rId4" Type="http://schemas.openxmlformats.org/officeDocument/2006/relationships/hyperlink" Target="https://docs.google.com/spreadsheets/d/1sNsvTEjhFAxLcwsjZ1J7CaU0DXftbwyAHeDmpZqDOAI/edit?gid=0" TargetMode="External"/><Relationship Id="rId10" Type="http://schemas.openxmlformats.org/officeDocument/2006/relationships/drawing" Target="../drawings/drawing3.xml"/><Relationship Id="rId9" Type="http://schemas.openxmlformats.org/officeDocument/2006/relationships/hyperlink" Target="https://docs.google.com/spreadsheets/d/1PtILyyZqZN6xk8xuQzHIvifzPUCl9KOtv8lTbbnVLPo/edit?gid=0" TargetMode="External"/><Relationship Id="rId5" Type="http://schemas.openxmlformats.org/officeDocument/2006/relationships/hyperlink" Target="https://docs.google.com/spreadsheets/d/1MWa6Tvw4zXRkw-sT1Z4FkDvYEbXl6LisfYmRs4QaUgo/edit?gid=0" TargetMode="External"/><Relationship Id="rId6" Type="http://schemas.openxmlformats.org/officeDocument/2006/relationships/hyperlink" Target="https://docs.google.com/spreadsheets/d/1SAKeZ4GYS3XtJ3VK37ysMZSatkqfS7NH3Cp-nBziPqw/edit?gid=0" TargetMode="External"/><Relationship Id="rId7" Type="http://schemas.openxmlformats.org/officeDocument/2006/relationships/hyperlink" Target="https://docs.google.com/spreadsheets/d/1UBnDQLBQan7R0Zm5qO8tuyav0U8mcd9uVBMEOwQuf6E/edit?gid=0" TargetMode="External"/><Relationship Id="rId8" Type="http://schemas.openxmlformats.org/officeDocument/2006/relationships/hyperlink" Target="https://docs.google.com/spreadsheets/d/1zG1DWj8Uo2fz0FrO7K3VPRZJmjbogsoOJ6_8dRxiwFM/edit?gid=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s>
  <sheetData>
    <row r="1">
      <c r="A1" s="1" t="s">
        <v>0</v>
      </c>
      <c r="B1" s="1" t="s">
        <v>1</v>
      </c>
      <c r="C1" s="1" t="s">
        <v>2</v>
      </c>
      <c r="D1" s="1" t="s">
        <v>3</v>
      </c>
      <c r="E1" s="1" t="s">
        <v>4</v>
      </c>
    </row>
    <row r="2">
      <c r="A2" s="1" t="s">
        <v>5</v>
      </c>
      <c r="B2" s="1" t="s">
        <v>6</v>
      </c>
      <c r="C2" s="2">
        <f>COUNTA(Lina!A2:A1000)</f>
        <v>64</v>
      </c>
      <c r="D2" s="2">
        <f>SUM(Lina!B2:B1000)</f>
        <v>1605.131</v>
      </c>
      <c r="E2" s="3" t="s">
        <v>7</v>
      </c>
    </row>
    <row r="3">
      <c r="A3" s="1" t="s">
        <v>8</v>
      </c>
      <c r="B3" s="1" t="s">
        <v>9</v>
      </c>
      <c r="C3" s="2">
        <f>COUNTA(MRK!A2:A1000)</f>
        <v>50</v>
      </c>
      <c r="D3" s="2">
        <f>SUM(MRK!B2:B1000)</f>
        <v>1500</v>
      </c>
      <c r="E3" s="3" t="s">
        <v>10</v>
      </c>
    </row>
    <row r="4">
      <c r="A4" s="1" t="s">
        <v>11</v>
      </c>
      <c r="B4" s="1" t="s">
        <v>12</v>
      </c>
      <c r="C4" s="2">
        <f>COUNTA(Dipto!A2:A1000)</f>
        <v>22</v>
      </c>
      <c r="D4" s="2">
        <f>SUM(Dipto!B2:B1000)</f>
        <v>652.908</v>
      </c>
      <c r="E4" s="3" t="s">
        <v>13</v>
      </c>
    </row>
    <row r="5">
      <c r="A5" s="1" t="s">
        <v>14</v>
      </c>
      <c r="B5" s="1" t="s">
        <v>15</v>
      </c>
      <c r="C5" s="2">
        <f>COUNTA(Mehadi!A2:A1000)</f>
        <v>41</v>
      </c>
      <c r="D5" s="2">
        <f>SUM(Mehadi!B2:B1000)</f>
        <v>1053.621</v>
      </c>
      <c r="E5" s="3" t="s">
        <v>16</v>
      </c>
    </row>
    <row r="6">
      <c r="A6" s="1" t="s">
        <v>17</v>
      </c>
      <c r="B6" s="1" t="s">
        <v>18</v>
      </c>
      <c r="C6" s="2">
        <f>COUNTA('Mashruf-2'!A8:A1000)</f>
        <v>47</v>
      </c>
      <c r="D6" s="2">
        <f>SUM('Mashruf-2'!B8:B1000)</f>
        <v>1410</v>
      </c>
    </row>
    <row r="7">
      <c r="A7" s="1" t="s">
        <v>19</v>
      </c>
      <c r="B7" s="1" t="s">
        <v>20</v>
      </c>
      <c r="C7" s="2">
        <f>COUNTA(Nusrat!A2:A1000)</f>
        <v>24</v>
      </c>
      <c r="D7" s="2">
        <f>SUM(Nusrat!B2:B1000)</f>
        <v>624.631</v>
      </c>
      <c r="E7" s="3" t="s">
        <v>21</v>
      </c>
    </row>
    <row r="8">
      <c r="A8" s="1" t="s">
        <v>22</v>
      </c>
      <c r="B8" s="1" t="s">
        <v>23</v>
      </c>
      <c r="C8" s="2">
        <f>COUNTA(Annoor!A2:A1000)</f>
        <v>71</v>
      </c>
      <c r="D8" s="2">
        <f>SUM(Annoor!B2:B1000)</f>
        <v>1069.016</v>
      </c>
      <c r="E8" s="3" t="s">
        <v>24</v>
      </c>
    </row>
    <row r="9">
      <c r="A9" s="1" t="s">
        <v>25</v>
      </c>
      <c r="B9" s="1" t="s">
        <v>26</v>
      </c>
      <c r="C9" s="2">
        <f>COUNTA(STA!A2:A1000)</f>
        <v>0</v>
      </c>
      <c r="D9" s="2">
        <f>SUM(STA!B2:B1000)</f>
        <v>0</v>
      </c>
      <c r="E9" s="3" t="s">
        <v>27</v>
      </c>
    </row>
    <row r="10">
      <c r="A10" s="1" t="s">
        <v>28</v>
      </c>
      <c r="B10" s="1" t="s">
        <v>29</v>
      </c>
      <c r="C10" s="2">
        <f>COUNTA('Annoor-2'!A2:A1000)</f>
        <v>50</v>
      </c>
      <c r="D10" s="2">
        <f>SUM('Annoor-2'!B2:B1000)</f>
        <v>1500</v>
      </c>
      <c r="E10" s="3" t="s">
        <v>24</v>
      </c>
    </row>
    <row r="11">
      <c r="A11" s="1" t="s">
        <v>30</v>
      </c>
      <c r="B11" s="1" t="s">
        <v>31</v>
      </c>
      <c r="C11" s="2">
        <f>COUNTA('Lina-2'!A2:A1000)</f>
        <v>40</v>
      </c>
      <c r="D11" s="2">
        <f>SUM('Lina-2'!B2:B1000)</f>
        <v>1200</v>
      </c>
      <c r="E11" s="3" t="s">
        <v>7</v>
      </c>
    </row>
    <row r="12">
      <c r="A12" s="1" t="s">
        <v>32</v>
      </c>
      <c r="B12" s="1" t="s">
        <v>33</v>
      </c>
      <c r="C12" s="2">
        <f>COUNTA(Mashruf!A2:A1000)</f>
        <v>160</v>
      </c>
      <c r="D12" s="2">
        <f>SUM(Mashruf!B2:B1000)</f>
        <v>4800</v>
      </c>
      <c r="E12" s="3" t="s">
        <v>34</v>
      </c>
    </row>
    <row r="17">
      <c r="D17" s="2">
        <f>SUM(D2:D6)/3600</f>
        <v>1.728238889</v>
      </c>
      <c r="E17" s="1" t="s">
        <v>35</v>
      </c>
    </row>
  </sheetData>
  <hyperlinks>
    <hyperlink r:id="rId1" location="gid=1682353242" ref="E2"/>
    <hyperlink r:id="rId2" location="gid=1682353242" ref="E3"/>
    <hyperlink r:id="rId3" location="gid=1682353242" ref="E4"/>
    <hyperlink r:id="rId4" location="gid=0" ref="E5"/>
    <hyperlink r:id="rId5" location="gid=1682353242" ref="E7"/>
    <hyperlink r:id="rId6" location="gid=1682353242" ref="E8"/>
    <hyperlink r:id="rId7" location="gid=1682353242" ref="E9"/>
    <hyperlink r:id="rId8" location="gid=1682353242" ref="E10"/>
    <hyperlink r:id="rId9" location="gid=1682353242" ref="E11"/>
    <hyperlink r:id="rId10" location="gid=1682353242" ref="E12"/>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0"/>
    <col customWidth="1" min="2" max="2" width="25.13"/>
    <col customWidth="1" min="3" max="3" width="36.13"/>
  </cols>
  <sheetData>
    <row r="1">
      <c r="A1" s="4" t="s">
        <v>36</v>
      </c>
      <c r="B1" s="5" t="s">
        <v>37</v>
      </c>
      <c r="C1" s="6"/>
      <c r="D1" s="6"/>
      <c r="E1" s="6"/>
      <c r="F1" s="6"/>
      <c r="G1" s="6"/>
      <c r="H1" s="6"/>
      <c r="I1" s="6"/>
      <c r="J1" s="6"/>
      <c r="K1" s="6"/>
      <c r="L1" s="6"/>
      <c r="M1" s="6"/>
      <c r="N1" s="6"/>
      <c r="O1" s="6"/>
      <c r="P1" s="6"/>
      <c r="Q1" s="6"/>
      <c r="R1" s="6"/>
      <c r="S1" s="6"/>
      <c r="T1" s="6"/>
      <c r="U1" s="6"/>
      <c r="V1" s="6"/>
      <c r="W1" s="6"/>
      <c r="X1" s="6"/>
      <c r="Y1" s="6"/>
      <c r="Z1" s="6"/>
    </row>
    <row r="2">
      <c r="A2" s="7" t="s">
        <v>38</v>
      </c>
      <c r="B2" s="5" t="s">
        <v>39</v>
      </c>
      <c r="C2" s="6"/>
      <c r="D2" s="6"/>
      <c r="E2" s="6"/>
      <c r="F2" s="6"/>
      <c r="G2" s="6"/>
      <c r="H2" s="6"/>
      <c r="I2" s="6"/>
      <c r="J2" s="6"/>
      <c r="K2" s="6"/>
      <c r="L2" s="6"/>
      <c r="M2" s="6"/>
      <c r="N2" s="6"/>
      <c r="O2" s="6"/>
      <c r="P2" s="6"/>
      <c r="Q2" s="6"/>
      <c r="R2" s="6"/>
      <c r="S2" s="6"/>
      <c r="T2" s="6"/>
      <c r="U2" s="6"/>
      <c r="V2" s="6"/>
      <c r="W2" s="6"/>
      <c r="X2" s="6"/>
      <c r="Y2" s="6"/>
      <c r="Z2" s="6"/>
    </row>
    <row r="3">
      <c r="A3" s="7"/>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t="s">
        <v>40</v>
      </c>
      <c r="B5" s="6" t="s">
        <v>41</v>
      </c>
      <c r="C5" s="6" t="s">
        <v>14</v>
      </c>
      <c r="D5" s="6"/>
      <c r="E5" s="5" t="s">
        <v>16</v>
      </c>
      <c r="F5" s="6"/>
      <c r="G5" s="6"/>
      <c r="H5" s="6"/>
      <c r="I5" s="6"/>
      <c r="J5" s="6"/>
      <c r="K5" s="6"/>
      <c r="L5" s="6"/>
      <c r="M5" s="6"/>
      <c r="N5" s="6"/>
      <c r="O5" s="6"/>
      <c r="P5" s="6"/>
      <c r="Q5" s="6"/>
      <c r="R5" s="6"/>
      <c r="S5" s="6"/>
      <c r="T5" s="6"/>
      <c r="U5" s="6"/>
      <c r="V5" s="6"/>
      <c r="W5" s="6"/>
      <c r="X5" s="6"/>
      <c r="Y5" s="6"/>
      <c r="Z5" s="6"/>
    </row>
    <row r="6">
      <c r="A6" s="8" t="s">
        <v>42</v>
      </c>
      <c r="B6" s="8" t="s">
        <v>43</v>
      </c>
      <c r="C6" s="8" t="s">
        <v>22</v>
      </c>
      <c r="D6" s="8"/>
      <c r="E6" s="9" t="s">
        <v>44</v>
      </c>
      <c r="F6" s="8"/>
      <c r="G6" s="8"/>
      <c r="H6" s="8"/>
      <c r="I6" s="8"/>
      <c r="J6" s="8"/>
      <c r="K6" s="8"/>
      <c r="L6" s="8"/>
      <c r="M6" s="8"/>
      <c r="N6" s="8"/>
      <c r="O6" s="8"/>
      <c r="P6" s="8"/>
      <c r="Q6" s="8"/>
      <c r="R6" s="8"/>
      <c r="S6" s="8"/>
      <c r="T6" s="8"/>
      <c r="U6" s="8"/>
      <c r="V6" s="8"/>
      <c r="W6" s="8"/>
      <c r="X6" s="8"/>
      <c r="Y6" s="8"/>
      <c r="Z6" s="8"/>
    </row>
    <row r="7">
      <c r="A7" s="10" t="s">
        <v>45</v>
      </c>
      <c r="B7" s="8" t="s">
        <v>46</v>
      </c>
      <c r="C7" s="8" t="s">
        <v>5</v>
      </c>
      <c r="D7" s="8"/>
      <c r="E7" s="9" t="s">
        <v>47</v>
      </c>
      <c r="F7" s="8"/>
      <c r="G7" s="8"/>
      <c r="H7" s="8"/>
      <c r="I7" s="8"/>
      <c r="J7" s="8"/>
      <c r="K7" s="8"/>
      <c r="L7" s="8"/>
      <c r="M7" s="8"/>
      <c r="N7" s="8"/>
      <c r="O7" s="8"/>
      <c r="P7" s="8"/>
      <c r="Q7" s="8"/>
      <c r="R7" s="8"/>
      <c r="S7" s="8"/>
      <c r="T7" s="8"/>
      <c r="U7" s="8"/>
      <c r="V7" s="8"/>
      <c r="W7" s="8"/>
      <c r="X7" s="8"/>
      <c r="Y7" s="8"/>
      <c r="Z7" s="8"/>
    </row>
    <row r="8">
      <c r="A8" s="11" t="s">
        <v>48</v>
      </c>
      <c r="B8" s="6" t="s">
        <v>49</v>
      </c>
      <c r="C8" s="6"/>
      <c r="D8" s="6"/>
      <c r="E8" s="6"/>
      <c r="F8" s="6"/>
      <c r="G8" s="6"/>
      <c r="H8" s="6"/>
      <c r="I8" s="6"/>
      <c r="J8" s="6"/>
      <c r="K8" s="6"/>
      <c r="L8" s="6"/>
      <c r="M8" s="6"/>
      <c r="N8" s="6"/>
      <c r="O8" s="6"/>
      <c r="P8" s="6"/>
      <c r="Q8" s="6"/>
      <c r="R8" s="6"/>
      <c r="S8" s="6"/>
      <c r="T8" s="6"/>
      <c r="U8" s="6"/>
      <c r="V8" s="6"/>
      <c r="W8" s="6"/>
      <c r="X8" s="6"/>
      <c r="Y8" s="6"/>
      <c r="Z8" s="6"/>
    </row>
    <row r="9">
      <c r="A9" s="10" t="s">
        <v>50</v>
      </c>
      <c r="B9" s="8" t="s">
        <v>51</v>
      </c>
      <c r="C9" s="8" t="s">
        <v>11</v>
      </c>
      <c r="D9" s="8"/>
      <c r="E9" s="9" t="s">
        <v>52</v>
      </c>
      <c r="F9" s="8"/>
      <c r="G9" s="8"/>
      <c r="H9" s="8"/>
      <c r="I9" s="8"/>
      <c r="J9" s="8"/>
      <c r="K9" s="8"/>
      <c r="L9" s="8"/>
      <c r="M9" s="8"/>
      <c r="N9" s="8"/>
      <c r="O9" s="8"/>
      <c r="P9" s="8"/>
      <c r="Q9" s="8"/>
      <c r="R9" s="8"/>
      <c r="S9" s="8"/>
      <c r="T9" s="8"/>
      <c r="U9" s="8"/>
      <c r="V9" s="8"/>
      <c r="W9" s="8"/>
      <c r="X9" s="8"/>
      <c r="Y9" s="8"/>
      <c r="Z9" s="8"/>
    </row>
    <row r="10">
      <c r="A10" s="6" t="s">
        <v>53</v>
      </c>
      <c r="B10" s="6" t="s">
        <v>54</v>
      </c>
      <c r="C10" s="6" t="s">
        <v>55</v>
      </c>
      <c r="D10" s="6"/>
      <c r="E10" s="12" t="s">
        <v>56</v>
      </c>
      <c r="F10" s="6"/>
      <c r="G10" s="6"/>
      <c r="H10" s="6"/>
      <c r="I10" s="6"/>
      <c r="J10" s="6"/>
      <c r="K10" s="6"/>
      <c r="L10" s="6"/>
      <c r="M10" s="6"/>
      <c r="N10" s="6"/>
      <c r="O10" s="6"/>
      <c r="P10" s="6"/>
      <c r="Q10" s="6"/>
      <c r="R10" s="6"/>
      <c r="S10" s="6"/>
      <c r="T10" s="6"/>
      <c r="U10" s="6"/>
      <c r="V10" s="6"/>
      <c r="W10" s="6"/>
      <c r="X10" s="6"/>
      <c r="Y10" s="6"/>
      <c r="Z10" s="6"/>
    </row>
    <row r="11">
      <c r="A11" s="10" t="s">
        <v>57</v>
      </c>
      <c r="B11" s="10" t="s">
        <v>58</v>
      </c>
      <c r="C11" s="10" t="s">
        <v>8</v>
      </c>
      <c r="D11" s="8"/>
      <c r="E11" s="13" t="s">
        <v>59</v>
      </c>
      <c r="F11" s="8"/>
      <c r="G11" s="8"/>
      <c r="H11" s="8"/>
      <c r="I11" s="8"/>
      <c r="J11" s="8"/>
      <c r="K11" s="8"/>
      <c r="L11" s="8"/>
      <c r="M11" s="8"/>
      <c r="N11" s="8"/>
      <c r="O11" s="8"/>
      <c r="P11" s="8"/>
      <c r="Q11" s="8"/>
      <c r="R11" s="8"/>
      <c r="S11" s="8"/>
      <c r="T11" s="8"/>
      <c r="U11" s="8"/>
      <c r="V11" s="8"/>
      <c r="W11" s="8"/>
      <c r="X11" s="8"/>
      <c r="Y11" s="8"/>
      <c r="Z11" s="8"/>
    </row>
    <row r="12">
      <c r="A12" s="6" t="s">
        <v>60</v>
      </c>
      <c r="B12" s="6" t="s">
        <v>61</v>
      </c>
      <c r="C12" s="6"/>
      <c r="D12" s="6"/>
      <c r="E12" s="6"/>
      <c r="F12" s="6"/>
      <c r="G12" s="6"/>
      <c r="H12" s="6"/>
      <c r="I12" s="6"/>
      <c r="J12" s="6"/>
      <c r="K12" s="6"/>
      <c r="L12" s="6"/>
      <c r="M12" s="6"/>
      <c r="N12" s="6"/>
      <c r="O12" s="6"/>
      <c r="P12" s="6"/>
      <c r="Q12" s="6"/>
      <c r="R12" s="6"/>
      <c r="S12" s="6"/>
      <c r="T12" s="6"/>
      <c r="U12" s="6"/>
      <c r="V12" s="6"/>
      <c r="W12" s="6"/>
      <c r="X12" s="6"/>
      <c r="Y12" s="6"/>
      <c r="Z12" s="6"/>
    </row>
    <row r="13">
      <c r="A13" s="8" t="s">
        <v>62</v>
      </c>
      <c r="B13" s="8" t="s">
        <v>63</v>
      </c>
      <c r="C13" s="8" t="s">
        <v>32</v>
      </c>
      <c r="D13" s="8"/>
      <c r="E13" s="13" t="s">
        <v>64</v>
      </c>
      <c r="F13" s="8"/>
      <c r="G13" s="8"/>
      <c r="H13" s="8"/>
      <c r="I13" s="8"/>
      <c r="J13" s="8"/>
      <c r="K13" s="8"/>
      <c r="L13" s="8"/>
      <c r="M13" s="8"/>
      <c r="N13" s="8"/>
      <c r="O13" s="8"/>
      <c r="P13" s="8"/>
      <c r="Q13" s="8"/>
      <c r="R13" s="8"/>
      <c r="S13" s="8"/>
      <c r="T13" s="8"/>
      <c r="U13" s="8"/>
      <c r="V13" s="8"/>
      <c r="W13" s="8"/>
      <c r="X13" s="8"/>
      <c r="Y13" s="8"/>
      <c r="Z13" s="8"/>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11"/>
      <c r="F15" s="6"/>
      <c r="G15" s="6"/>
      <c r="H15" s="6"/>
      <c r="I15" s="6"/>
      <c r="J15" s="6"/>
      <c r="K15" s="6"/>
      <c r="L15" s="6"/>
      <c r="M15" s="6"/>
      <c r="N15" s="6"/>
      <c r="O15" s="6"/>
      <c r="P15" s="6"/>
      <c r="Q15" s="6"/>
      <c r="R15" s="6"/>
      <c r="S15" s="6"/>
      <c r="T15" s="6"/>
      <c r="U15" s="6"/>
      <c r="V15" s="6"/>
      <c r="W15" s="6"/>
      <c r="X15" s="6"/>
      <c r="Y15" s="6"/>
      <c r="Z15" s="6"/>
    </row>
    <row r="16">
      <c r="A16" s="6"/>
      <c r="B16" s="6" t="s">
        <v>65</v>
      </c>
      <c r="C16" s="6"/>
      <c r="D16" s="11"/>
      <c r="E16" s="6"/>
      <c r="F16" s="6"/>
      <c r="G16" s="6"/>
      <c r="H16" s="6"/>
      <c r="I16" s="6"/>
      <c r="J16" s="6"/>
      <c r="K16" s="6"/>
      <c r="L16" s="6"/>
      <c r="M16" s="6"/>
      <c r="N16" s="6"/>
      <c r="O16" s="6"/>
      <c r="P16" s="6"/>
      <c r="Q16" s="6"/>
      <c r="R16" s="6"/>
      <c r="S16" s="6"/>
      <c r="T16" s="6"/>
      <c r="U16" s="6"/>
      <c r="V16" s="6"/>
      <c r="W16" s="6"/>
      <c r="X16" s="6"/>
      <c r="Y16" s="6"/>
      <c r="Z16" s="6"/>
    </row>
    <row r="17">
      <c r="A17" s="6"/>
      <c r="B17" s="11" t="s">
        <v>66</v>
      </c>
      <c r="C17" s="11"/>
      <c r="D17" s="11"/>
      <c r="E17" s="11"/>
      <c r="F17" s="6"/>
      <c r="G17" s="6"/>
      <c r="H17" s="6"/>
      <c r="I17" s="6"/>
      <c r="J17" s="6"/>
      <c r="K17" s="6"/>
      <c r="L17" s="6"/>
      <c r="M17" s="6"/>
      <c r="N17" s="6"/>
      <c r="O17" s="6"/>
      <c r="P17" s="6"/>
      <c r="Q17" s="6"/>
      <c r="R17" s="6"/>
      <c r="S17" s="6"/>
      <c r="T17" s="6"/>
      <c r="U17" s="6"/>
      <c r="V17" s="6"/>
      <c r="W17" s="6"/>
      <c r="X17" s="6"/>
      <c r="Y17" s="6"/>
      <c r="Z17" s="6"/>
    </row>
    <row r="18">
      <c r="A18" s="6"/>
      <c r="B18" s="11"/>
      <c r="C18" s="11"/>
      <c r="D18" s="11"/>
      <c r="E18" s="6"/>
      <c r="F18" s="6"/>
      <c r="G18" s="6"/>
      <c r="H18" s="6"/>
      <c r="I18" s="6"/>
      <c r="J18" s="6"/>
      <c r="K18" s="6"/>
      <c r="L18" s="6"/>
      <c r="M18" s="6"/>
      <c r="N18" s="6"/>
      <c r="O18" s="6"/>
      <c r="P18" s="6"/>
      <c r="Q18" s="6"/>
      <c r="R18" s="6"/>
      <c r="S18" s="6"/>
      <c r="T18" s="6"/>
      <c r="U18" s="6"/>
      <c r="V18" s="6"/>
      <c r="W18" s="6"/>
      <c r="X18" s="6"/>
      <c r="Y18" s="6"/>
      <c r="Z18" s="6"/>
    </row>
    <row r="19">
      <c r="M19" s="6"/>
      <c r="N19" s="6"/>
      <c r="O19" s="6"/>
      <c r="P19" s="6"/>
      <c r="Q19" s="6"/>
      <c r="R19" s="6"/>
      <c r="S19" s="6"/>
      <c r="T19" s="6"/>
      <c r="U19" s="6"/>
      <c r="V19" s="6"/>
      <c r="W19" s="6"/>
      <c r="X19" s="6"/>
      <c r="Y19" s="6"/>
      <c r="Z19" s="6"/>
    </row>
    <row r="20">
      <c r="A20" s="6" t="s">
        <v>67</v>
      </c>
      <c r="B20" s="6" t="s">
        <v>68</v>
      </c>
      <c r="M20" s="6"/>
      <c r="N20" s="6"/>
      <c r="O20" s="6"/>
      <c r="P20" s="6"/>
      <c r="Q20" s="6"/>
      <c r="R20" s="6"/>
      <c r="S20" s="6"/>
      <c r="T20" s="6"/>
      <c r="U20" s="6"/>
      <c r="V20" s="6"/>
      <c r="W20" s="6"/>
      <c r="X20" s="6"/>
      <c r="Y20" s="6"/>
      <c r="Z20" s="6"/>
    </row>
    <row r="21">
      <c r="A21" s="6"/>
      <c r="B21" s="6" t="s">
        <v>69</v>
      </c>
      <c r="M21" s="6"/>
      <c r="N21" s="6"/>
      <c r="O21" s="6"/>
      <c r="P21" s="6"/>
      <c r="Q21" s="6"/>
      <c r="R21" s="6"/>
      <c r="S21" s="6"/>
      <c r="T21" s="6"/>
      <c r="U21" s="6"/>
      <c r="V21" s="6"/>
      <c r="W21" s="6"/>
      <c r="X21" s="6"/>
      <c r="Y21" s="6"/>
      <c r="Z21" s="6"/>
    </row>
    <row r="22">
      <c r="A22" s="6"/>
      <c r="B22" s="6" t="s">
        <v>70</v>
      </c>
      <c r="M22" s="6"/>
      <c r="N22" s="6"/>
      <c r="O22" s="6"/>
      <c r="P22" s="6"/>
      <c r="Q22" s="6"/>
      <c r="R22" s="6"/>
      <c r="S22" s="6"/>
      <c r="T22" s="6"/>
      <c r="U22" s="6"/>
      <c r="V22" s="6"/>
      <c r="W22" s="6"/>
      <c r="X22" s="6"/>
      <c r="Y22" s="6"/>
      <c r="Z22" s="6"/>
    </row>
    <row r="23">
      <c r="A23" s="6" t="s">
        <v>71</v>
      </c>
      <c r="B23" s="11" t="s">
        <v>72</v>
      </c>
      <c r="C23" s="11"/>
      <c r="D23" s="11"/>
      <c r="E23" s="11"/>
      <c r="F23" s="6"/>
      <c r="G23" s="6"/>
      <c r="H23" s="6"/>
      <c r="I23" s="6"/>
      <c r="J23" s="6"/>
      <c r="K23" s="6"/>
      <c r="L23" s="6"/>
      <c r="M23" s="6"/>
      <c r="N23" s="6"/>
      <c r="O23" s="6"/>
      <c r="P23" s="6"/>
      <c r="Q23" s="6"/>
      <c r="R23" s="6"/>
      <c r="S23" s="6"/>
      <c r="T23" s="6"/>
      <c r="U23" s="6"/>
      <c r="V23" s="6"/>
      <c r="W23" s="6"/>
      <c r="X23" s="6"/>
      <c r="Y23" s="6"/>
      <c r="Z23" s="6"/>
    </row>
    <row r="24">
      <c r="A24" s="6"/>
      <c r="B24" s="11" t="s">
        <v>73</v>
      </c>
      <c r="C24" s="11"/>
      <c r="D24" s="11"/>
      <c r="E24" s="6"/>
      <c r="F24" s="6"/>
      <c r="G24" s="6"/>
      <c r="H24" s="6"/>
      <c r="I24" s="6"/>
      <c r="J24" s="6"/>
      <c r="K24" s="6"/>
      <c r="L24" s="6"/>
      <c r="M24" s="6"/>
      <c r="N24" s="6"/>
      <c r="O24" s="6"/>
      <c r="P24" s="6"/>
      <c r="Q24" s="6"/>
      <c r="R24" s="6"/>
      <c r="S24" s="6"/>
      <c r="T24" s="6"/>
      <c r="U24" s="6"/>
      <c r="V24" s="6"/>
      <c r="W24" s="6"/>
      <c r="X24" s="6"/>
      <c r="Y24" s="6"/>
      <c r="Z24" s="6"/>
    </row>
    <row r="25">
      <c r="A25" s="6"/>
      <c r="B25" s="11" t="s">
        <v>74</v>
      </c>
      <c r="C25" s="11"/>
      <c r="D25" s="11"/>
      <c r="E25" s="11"/>
      <c r="F25" s="6"/>
      <c r="G25" s="6"/>
      <c r="H25" s="6"/>
      <c r="I25" s="6"/>
      <c r="J25" s="6"/>
      <c r="K25" s="6"/>
      <c r="L25" s="6"/>
      <c r="M25" s="6"/>
      <c r="N25" s="6"/>
      <c r="O25" s="6"/>
      <c r="P25" s="6"/>
      <c r="Q25" s="6"/>
      <c r="R25" s="6"/>
      <c r="S25" s="6"/>
      <c r="T25" s="6"/>
      <c r="U25" s="6"/>
      <c r="V25" s="6"/>
      <c r="W25" s="6"/>
      <c r="X25" s="6"/>
      <c r="Y25" s="6"/>
      <c r="Z25" s="6"/>
    </row>
    <row r="26">
      <c r="A26" s="11"/>
      <c r="B26" s="11"/>
      <c r="C26" s="11"/>
      <c r="D26" s="11"/>
      <c r="E26" s="6"/>
      <c r="F26" s="6"/>
      <c r="G26" s="6"/>
      <c r="H26" s="6"/>
      <c r="I26" s="6"/>
      <c r="J26" s="6"/>
      <c r="K26" s="6"/>
      <c r="L26" s="6"/>
      <c r="M26" s="6"/>
      <c r="N26" s="6"/>
      <c r="O26" s="6"/>
      <c r="P26" s="6"/>
      <c r="Q26" s="6"/>
      <c r="R26" s="6"/>
      <c r="S26" s="6"/>
      <c r="T26" s="6"/>
      <c r="U26" s="6"/>
      <c r="V26" s="6"/>
      <c r="W26" s="6"/>
      <c r="X26" s="6"/>
      <c r="Y26" s="6"/>
      <c r="Z26" s="6"/>
    </row>
    <row r="27">
      <c r="A27" s="6" t="s">
        <v>75</v>
      </c>
      <c r="B27" s="6" t="s">
        <v>72</v>
      </c>
      <c r="C27" s="6"/>
      <c r="D27" s="11"/>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11"/>
      <c r="B47" s="6"/>
      <c r="C47" s="6"/>
      <c r="D47" s="6"/>
      <c r="E47" s="6"/>
      <c r="F47" s="6"/>
      <c r="G47" s="6"/>
      <c r="H47" s="6"/>
      <c r="I47" s="6"/>
      <c r="J47" s="6"/>
      <c r="K47" s="6"/>
      <c r="L47" s="6"/>
      <c r="M47" s="6"/>
      <c r="N47" s="6"/>
      <c r="O47" s="6"/>
      <c r="P47" s="6"/>
      <c r="Q47" s="6"/>
      <c r="R47" s="6"/>
      <c r="S47" s="6"/>
      <c r="T47" s="6"/>
      <c r="U47" s="6"/>
      <c r="V47" s="6"/>
      <c r="W47" s="6"/>
      <c r="X47" s="6"/>
      <c r="Y47" s="6"/>
      <c r="Z47" s="6"/>
    </row>
    <row r="48">
      <c r="A48" s="11"/>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11"/>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11"/>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11"/>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11"/>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sheetData>
  <hyperlinks>
    <hyperlink r:id="rId1" ref="B1"/>
    <hyperlink r:id="rId2" ref="B2"/>
    <hyperlink r:id="rId3" location="gid=0" ref="E5"/>
    <hyperlink r:id="rId4" location="gid=0" ref="E6"/>
    <hyperlink r:id="rId5" location="gid=0" ref="E7"/>
    <hyperlink r:id="rId6" location="gid=0" ref="E9"/>
    <hyperlink r:id="rId7" location="gid=0" ref="E10"/>
    <hyperlink r:id="rId8" location="gid=0" ref="E11"/>
    <hyperlink r:id="rId9" location="gid=0" ref="E13"/>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6" max="6" width="15.5"/>
    <col customWidth="1" min="7" max="7" width="24.38"/>
  </cols>
  <sheetData>
    <row r="1">
      <c r="A1" s="14" t="s">
        <v>76</v>
      </c>
      <c r="B1" s="14" t="s">
        <v>77</v>
      </c>
      <c r="C1" s="15" t="s">
        <v>78</v>
      </c>
      <c r="D1" s="15" t="s">
        <v>79</v>
      </c>
      <c r="E1" s="15" t="s">
        <v>80</v>
      </c>
      <c r="F1" s="15" t="s">
        <v>81</v>
      </c>
      <c r="G1" s="15" t="s">
        <v>82</v>
      </c>
      <c r="H1" s="15" t="s">
        <v>83</v>
      </c>
      <c r="I1" s="15" t="s">
        <v>84</v>
      </c>
      <c r="J1" s="15" t="s">
        <v>85</v>
      </c>
      <c r="K1" s="16" t="s">
        <v>86</v>
      </c>
      <c r="L1" s="6" t="s">
        <v>87</v>
      </c>
      <c r="M1" s="17" t="s">
        <v>88</v>
      </c>
    </row>
    <row r="2">
      <c r="A2" s="18"/>
      <c r="B2" s="19"/>
      <c r="C2" s="20"/>
      <c r="D2" s="4"/>
      <c r="E2" s="4"/>
      <c r="F2" s="4"/>
      <c r="G2" s="21"/>
      <c r="H2" s="21"/>
      <c r="I2" s="21"/>
      <c r="J2" s="21"/>
      <c r="K2" s="4"/>
      <c r="L2" s="4"/>
      <c r="M2" s="22"/>
    </row>
    <row r="3">
      <c r="A3" s="23"/>
      <c r="B3" s="24"/>
      <c r="C3" s="25"/>
      <c r="D3" s="6"/>
      <c r="E3" s="6"/>
      <c r="F3" s="6"/>
      <c r="G3" s="26"/>
      <c r="H3" s="26"/>
      <c r="I3" s="26"/>
      <c r="J3" s="26"/>
      <c r="K3" s="6"/>
      <c r="L3" s="6"/>
      <c r="M3" s="27"/>
    </row>
    <row r="4">
      <c r="A4" s="23"/>
      <c r="B4" s="28"/>
      <c r="C4" s="6"/>
      <c r="D4" s="6"/>
      <c r="E4" s="6"/>
      <c r="F4" s="6"/>
      <c r="G4" s="6"/>
      <c r="H4" s="6"/>
      <c r="I4" s="6"/>
      <c r="J4" s="6"/>
      <c r="K4" s="6"/>
      <c r="L4" s="6"/>
      <c r="M4" s="29"/>
    </row>
    <row r="5">
      <c r="B5" s="30"/>
      <c r="C5" s="30"/>
      <c r="D5" s="4"/>
      <c r="E5" s="4"/>
      <c r="F5" s="4"/>
      <c r="G5" s="21"/>
      <c r="H5" s="21"/>
      <c r="I5" s="21"/>
      <c r="J5" s="21"/>
      <c r="K5" s="4"/>
      <c r="L5" s="4"/>
    </row>
    <row r="6">
      <c r="B6" s="30"/>
      <c r="C6" s="30"/>
      <c r="D6" s="6"/>
      <c r="E6" s="6"/>
      <c r="F6" s="6"/>
      <c r="G6" s="26"/>
      <c r="H6" s="26"/>
      <c r="I6" s="26"/>
      <c r="J6" s="26"/>
      <c r="K6" s="6"/>
      <c r="L6" s="6"/>
    </row>
    <row r="7">
      <c r="B7" s="30"/>
      <c r="C7" s="30"/>
      <c r="D7" s="6"/>
      <c r="E7" s="6"/>
      <c r="F7" s="6"/>
      <c r="G7" s="6"/>
      <c r="H7" s="6"/>
      <c r="I7" s="6"/>
      <c r="J7" s="6"/>
      <c r="K7" s="6"/>
      <c r="L7" s="6"/>
    </row>
    <row r="8">
      <c r="B8" s="30"/>
      <c r="C8" s="30"/>
      <c r="D8" s="4"/>
      <c r="E8" s="4"/>
      <c r="F8" s="4"/>
      <c r="G8" s="21"/>
      <c r="H8" s="21"/>
      <c r="I8" s="21"/>
      <c r="J8" s="21"/>
      <c r="K8" s="4"/>
      <c r="L8" s="4"/>
    </row>
    <row r="9">
      <c r="B9" s="30"/>
      <c r="C9" s="30"/>
      <c r="D9" s="6"/>
      <c r="E9" s="6"/>
      <c r="F9" s="6"/>
      <c r="G9" s="26"/>
      <c r="H9" s="26"/>
      <c r="I9" s="26"/>
      <c r="J9" s="26"/>
      <c r="K9" s="6"/>
      <c r="L9" s="6"/>
    </row>
    <row r="10">
      <c r="B10" s="30"/>
      <c r="C10" s="30"/>
      <c r="D10" s="6"/>
      <c r="E10" s="6"/>
      <c r="F10" s="6"/>
      <c r="G10" s="6"/>
      <c r="H10" s="6"/>
      <c r="I10" s="6"/>
      <c r="J10" s="6"/>
      <c r="K10" s="6"/>
      <c r="L10" s="6"/>
    </row>
    <row r="11">
      <c r="B11" s="30"/>
      <c r="C11" s="30"/>
      <c r="D11" s="4"/>
      <c r="E11" s="4"/>
      <c r="F11" s="4"/>
      <c r="G11" s="21"/>
      <c r="H11" s="21"/>
      <c r="I11" s="21"/>
      <c r="J11" s="21"/>
      <c r="K11" s="4"/>
      <c r="L11" s="4"/>
    </row>
    <row r="12">
      <c r="B12" s="30"/>
      <c r="C12" s="30"/>
      <c r="D12" s="6"/>
      <c r="E12" s="6"/>
      <c r="F12" s="6"/>
      <c r="G12" s="26"/>
      <c r="H12" s="26"/>
      <c r="I12" s="26"/>
      <c r="J12" s="26"/>
      <c r="K12" s="6"/>
      <c r="L12" s="6"/>
    </row>
    <row r="13">
      <c r="B13" s="30"/>
      <c r="C13" s="30"/>
      <c r="D13" s="6"/>
      <c r="E13" s="6"/>
      <c r="F13" s="6"/>
      <c r="G13" s="6"/>
      <c r="H13" s="6"/>
      <c r="I13" s="6"/>
      <c r="J13" s="6"/>
      <c r="K13" s="6"/>
      <c r="L13" s="6"/>
    </row>
    <row r="14">
      <c r="B14" s="30"/>
      <c r="C14" s="30"/>
      <c r="D14" s="4"/>
      <c r="E14" s="4"/>
      <c r="F14" s="4"/>
      <c r="G14" s="21"/>
      <c r="H14" s="21"/>
      <c r="I14" s="21"/>
      <c r="J14" s="21"/>
      <c r="K14" s="4"/>
      <c r="L14" s="4"/>
    </row>
    <row r="15">
      <c r="B15" s="30"/>
      <c r="C15" s="30"/>
      <c r="D15" s="6"/>
      <c r="E15" s="6"/>
      <c r="F15" s="6"/>
      <c r="G15" s="26"/>
      <c r="H15" s="26"/>
      <c r="I15" s="26"/>
      <c r="J15" s="26"/>
      <c r="K15" s="6"/>
      <c r="L15" s="6"/>
    </row>
    <row r="16">
      <c r="B16" s="30"/>
      <c r="C16" s="30"/>
      <c r="D16" s="6"/>
      <c r="E16" s="6"/>
      <c r="F16" s="6"/>
      <c r="G16" s="6"/>
      <c r="H16" s="6"/>
      <c r="I16" s="6"/>
      <c r="J16" s="6"/>
      <c r="K16" s="6"/>
      <c r="L16" s="6"/>
    </row>
    <row r="17">
      <c r="B17" s="30"/>
      <c r="C17" s="30"/>
      <c r="D17" s="4"/>
      <c r="E17" s="4"/>
      <c r="F17" s="4"/>
      <c r="G17" s="21"/>
      <c r="H17" s="21"/>
      <c r="I17" s="21"/>
      <c r="J17" s="21"/>
      <c r="K17" s="4"/>
      <c r="L17" s="4"/>
    </row>
    <row r="18">
      <c r="B18" s="30"/>
      <c r="C18" s="30"/>
      <c r="D18" s="6"/>
      <c r="E18" s="6"/>
      <c r="F18" s="6"/>
      <c r="G18" s="26"/>
      <c r="H18" s="26"/>
      <c r="I18" s="26"/>
      <c r="J18" s="26"/>
      <c r="K18" s="6"/>
      <c r="L18" s="6"/>
    </row>
    <row r="19">
      <c r="B19" s="30"/>
      <c r="C19" s="30"/>
      <c r="D19" s="6"/>
      <c r="E19" s="6"/>
      <c r="F19" s="6"/>
      <c r="G19" s="6"/>
      <c r="H19" s="6"/>
      <c r="I19" s="6"/>
      <c r="J19" s="6"/>
      <c r="K19" s="6"/>
      <c r="L19" s="6"/>
    </row>
    <row r="20">
      <c r="B20" s="30"/>
      <c r="C20" s="30"/>
      <c r="D20" s="4"/>
      <c r="E20" s="4"/>
      <c r="F20" s="4"/>
      <c r="G20" s="21"/>
      <c r="H20" s="21"/>
      <c r="I20" s="21"/>
      <c r="J20" s="21"/>
      <c r="K20" s="4"/>
      <c r="L20" s="4"/>
    </row>
    <row r="21">
      <c r="B21" s="30"/>
      <c r="C21" s="30"/>
      <c r="D21" s="6"/>
      <c r="E21" s="6"/>
      <c r="F21" s="6"/>
      <c r="G21" s="26"/>
      <c r="H21" s="26"/>
      <c r="I21" s="26"/>
      <c r="J21" s="26"/>
      <c r="K21" s="6"/>
      <c r="L21" s="6"/>
    </row>
    <row r="22">
      <c r="B22" s="30"/>
      <c r="C22" s="30"/>
      <c r="D22" s="6"/>
      <c r="E22" s="6"/>
      <c r="F22" s="6"/>
      <c r="G22" s="6"/>
      <c r="H22" s="6"/>
      <c r="I22" s="6"/>
      <c r="J22" s="6"/>
      <c r="K22" s="6"/>
      <c r="L22" s="6"/>
    </row>
    <row r="23">
      <c r="B23" s="30"/>
      <c r="C23" s="30"/>
      <c r="D23" s="4"/>
      <c r="E23" s="4"/>
      <c r="F23" s="4"/>
      <c r="G23" s="21"/>
      <c r="H23" s="21"/>
      <c r="I23" s="21"/>
      <c r="J23" s="21"/>
      <c r="K23" s="4"/>
      <c r="L23" s="4"/>
    </row>
    <row r="24">
      <c r="B24" s="30"/>
      <c r="C24" s="30"/>
      <c r="D24" s="6"/>
      <c r="E24" s="6"/>
      <c r="F24" s="6"/>
      <c r="G24" s="26"/>
      <c r="H24" s="26"/>
      <c r="I24" s="26"/>
      <c r="J24" s="26"/>
      <c r="K24" s="6"/>
      <c r="L24" s="6"/>
    </row>
    <row r="25">
      <c r="B25" s="30"/>
      <c r="C25" s="30"/>
      <c r="D25" s="6"/>
      <c r="E25" s="6"/>
      <c r="F25" s="6"/>
      <c r="G25" s="6"/>
      <c r="H25" s="6"/>
      <c r="I25" s="6"/>
      <c r="J25" s="6"/>
      <c r="K25" s="6"/>
      <c r="L25" s="6"/>
    </row>
    <row r="26">
      <c r="B26" s="30"/>
      <c r="C26" s="30"/>
      <c r="D26" s="4"/>
      <c r="E26" s="4"/>
      <c r="F26" s="4"/>
      <c r="G26" s="21"/>
      <c r="H26" s="21"/>
      <c r="I26" s="21"/>
      <c r="J26" s="21"/>
      <c r="K26" s="4"/>
      <c r="L26" s="4"/>
    </row>
    <row r="27">
      <c r="B27" s="30"/>
      <c r="C27" s="30"/>
      <c r="D27" s="6"/>
      <c r="E27" s="6"/>
      <c r="F27" s="6"/>
      <c r="G27" s="26"/>
      <c r="H27" s="26"/>
      <c r="I27" s="26"/>
      <c r="J27" s="26"/>
      <c r="K27" s="6"/>
      <c r="L27" s="6"/>
    </row>
    <row r="28">
      <c r="B28" s="30"/>
      <c r="C28" s="30"/>
      <c r="D28" s="6"/>
      <c r="E28" s="6"/>
      <c r="F28" s="6"/>
      <c r="G28" s="6"/>
      <c r="H28" s="6"/>
      <c r="I28" s="6"/>
      <c r="J28" s="6"/>
      <c r="K28" s="6"/>
      <c r="L28" s="6"/>
    </row>
    <row r="29">
      <c r="B29" s="30"/>
      <c r="C29" s="30"/>
      <c r="D29" s="4"/>
      <c r="E29" s="4"/>
      <c r="F29" s="4"/>
      <c r="G29" s="21"/>
      <c r="H29" s="21"/>
      <c r="I29" s="21"/>
      <c r="J29" s="21"/>
      <c r="K29" s="4"/>
      <c r="L29" s="4"/>
    </row>
    <row r="30">
      <c r="B30" s="30"/>
      <c r="C30" s="30"/>
      <c r="D30" s="6"/>
      <c r="E30" s="6"/>
      <c r="F30" s="6"/>
      <c r="G30" s="26"/>
      <c r="H30" s="26"/>
      <c r="I30" s="26"/>
      <c r="J30" s="26"/>
      <c r="K30" s="6"/>
      <c r="L30" s="6"/>
    </row>
    <row r="31">
      <c r="B31" s="30"/>
      <c r="C31" s="30"/>
      <c r="D31" s="6"/>
      <c r="E31" s="6"/>
      <c r="F31" s="6"/>
      <c r="G31" s="6"/>
      <c r="H31" s="6"/>
      <c r="I31" s="6"/>
      <c r="J31" s="6"/>
      <c r="K31" s="6"/>
      <c r="L31" s="6"/>
    </row>
    <row r="32">
      <c r="B32" s="30"/>
      <c r="C32" s="30"/>
      <c r="D32" s="4"/>
      <c r="E32" s="4"/>
      <c r="F32" s="4"/>
      <c r="G32" s="21"/>
      <c r="H32" s="21"/>
      <c r="I32" s="21"/>
      <c r="J32" s="21"/>
      <c r="K32" s="4"/>
      <c r="L32" s="4"/>
    </row>
    <row r="33">
      <c r="B33" s="30"/>
      <c r="C33" s="30"/>
      <c r="D33" s="6"/>
      <c r="E33" s="6"/>
      <c r="F33" s="6"/>
      <c r="G33" s="26"/>
      <c r="H33" s="26"/>
      <c r="I33" s="26"/>
      <c r="J33" s="26"/>
      <c r="K33" s="6"/>
      <c r="L33" s="6"/>
    </row>
    <row r="34">
      <c r="B34" s="30"/>
      <c r="C34" s="30"/>
      <c r="D34" s="6"/>
      <c r="E34" s="6"/>
      <c r="F34" s="6"/>
      <c r="G34" s="6"/>
      <c r="H34" s="6"/>
      <c r="I34" s="6"/>
      <c r="J34" s="6"/>
      <c r="K34" s="6"/>
      <c r="L34" s="6"/>
    </row>
    <row r="35">
      <c r="B35" s="30"/>
      <c r="C35" s="30"/>
      <c r="D35" s="4"/>
      <c r="E35" s="4"/>
      <c r="F35" s="4"/>
      <c r="G35" s="21"/>
      <c r="H35" s="21"/>
      <c r="I35" s="21"/>
      <c r="J35" s="21"/>
      <c r="K35" s="4"/>
      <c r="L35" s="4"/>
    </row>
    <row r="36">
      <c r="B36" s="30"/>
      <c r="C36" s="30"/>
      <c r="D36" s="6"/>
      <c r="E36" s="6"/>
      <c r="F36" s="6"/>
      <c r="G36" s="26"/>
      <c r="H36" s="26"/>
      <c r="I36" s="26"/>
      <c r="J36" s="26"/>
      <c r="K36" s="6"/>
      <c r="L36" s="6"/>
    </row>
    <row r="37">
      <c r="B37" s="30"/>
      <c r="C37" s="30"/>
      <c r="D37" s="6"/>
      <c r="E37" s="6"/>
      <c r="F37" s="6"/>
      <c r="G37" s="6"/>
      <c r="H37" s="6"/>
      <c r="I37" s="6"/>
      <c r="J37" s="6"/>
      <c r="K37" s="6"/>
      <c r="L37" s="6"/>
    </row>
    <row r="38">
      <c r="B38" s="30"/>
      <c r="C38" s="30"/>
      <c r="D38" s="4"/>
      <c r="E38" s="4"/>
      <c r="F38" s="4"/>
      <c r="G38" s="21"/>
      <c r="H38" s="21"/>
      <c r="I38" s="21"/>
      <c r="J38" s="21"/>
      <c r="K38" s="4"/>
      <c r="L38" s="4"/>
    </row>
    <row r="39">
      <c r="B39" s="30"/>
      <c r="C39" s="30"/>
      <c r="D39" s="6"/>
      <c r="E39" s="6"/>
      <c r="F39" s="6"/>
      <c r="G39" s="26"/>
      <c r="H39" s="26"/>
      <c r="I39" s="26"/>
      <c r="J39" s="26"/>
      <c r="K39" s="6"/>
      <c r="L39" s="6"/>
    </row>
    <row r="40">
      <c r="B40" s="30"/>
      <c r="C40" s="30"/>
      <c r="D40" s="6"/>
      <c r="E40" s="6"/>
      <c r="F40" s="6"/>
      <c r="G40" s="6"/>
      <c r="H40" s="6"/>
      <c r="I40" s="6"/>
      <c r="J40" s="6"/>
      <c r="K40" s="6"/>
      <c r="L40" s="6"/>
    </row>
    <row r="41">
      <c r="B41" s="30"/>
      <c r="C41" s="30"/>
      <c r="D41" s="4"/>
      <c r="E41" s="4"/>
      <c r="F41" s="4"/>
      <c r="G41" s="21"/>
      <c r="H41" s="21"/>
      <c r="I41" s="21"/>
      <c r="J41" s="21"/>
      <c r="K41" s="4"/>
      <c r="L41" s="4"/>
    </row>
    <row r="42">
      <c r="B42" s="30"/>
      <c r="C42" s="30"/>
      <c r="D42" s="6"/>
      <c r="E42" s="6"/>
      <c r="F42" s="6"/>
      <c r="G42" s="26"/>
      <c r="H42" s="26"/>
      <c r="I42" s="26"/>
      <c r="J42" s="26"/>
      <c r="K42" s="6"/>
      <c r="L42" s="6"/>
    </row>
    <row r="43">
      <c r="B43" s="30"/>
      <c r="C43" s="30"/>
      <c r="D43" s="6"/>
      <c r="E43" s="6"/>
      <c r="F43" s="6"/>
      <c r="G43" s="6"/>
      <c r="H43" s="6"/>
      <c r="I43" s="6"/>
      <c r="J43" s="6"/>
      <c r="K43" s="6"/>
      <c r="L43" s="6"/>
    </row>
    <row r="44">
      <c r="B44" s="30"/>
      <c r="C44" s="30"/>
      <c r="D44" s="4"/>
      <c r="E44" s="4"/>
      <c r="F44" s="4"/>
      <c r="G44" s="21"/>
      <c r="H44" s="21"/>
      <c r="I44" s="21"/>
      <c r="J44" s="21"/>
      <c r="K44" s="4"/>
      <c r="L44" s="4"/>
    </row>
    <row r="45">
      <c r="B45" s="30"/>
      <c r="C45" s="30"/>
      <c r="D45" s="6"/>
      <c r="E45" s="6"/>
      <c r="F45" s="6"/>
      <c r="G45" s="26"/>
      <c r="H45" s="26"/>
      <c r="I45" s="26"/>
      <c r="J45" s="26"/>
      <c r="K45" s="6"/>
      <c r="L45" s="6"/>
    </row>
    <row r="46">
      <c r="B46" s="30"/>
      <c r="C46" s="30"/>
      <c r="D46" s="6"/>
      <c r="E46" s="6"/>
      <c r="F46" s="6"/>
      <c r="G46" s="6"/>
      <c r="H46" s="6"/>
      <c r="I46" s="6"/>
      <c r="J46" s="6"/>
      <c r="K46" s="6"/>
      <c r="L46" s="6"/>
    </row>
    <row r="47">
      <c r="B47" s="30"/>
      <c r="C47" s="30"/>
      <c r="D47" s="4"/>
      <c r="E47" s="4"/>
      <c r="F47" s="4"/>
      <c r="G47" s="21"/>
      <c r="H47" s="21"/>
      <c r="I47" s="21"/>
      <c r="J47" s="21"/>
      <c r="K47" s="4"/>
      <c r="L47" s="4"/>
    </row>
    <row r="48">
      <c r="B48" s="30"/>
      <c r="C48" s="30"/>
      <c r="D48" s="6"/>
      <c r="E48" s="6"/>
      <c r="F48" s="6"/>
      <c r="G48" s="26"/>
      <c r="H48" s="26"/>
      <c r="I48" s="26"/>
      <c r="J48" s="26"/>
      <c r="K48" s="6"/>
      <c r="L48" s="6"/>
    </row>
    <row r="49">
      <c r="B49" s="30"/>
      <c r="C49" s="30"/>
      <c r="D49" s="6"/>
      <c r="E49" s="6"/>
      <c r="F49" s="6"/>
      <c r="G49" s="6"/>
      <c r="H49" s="6"/>
      <c r="I49" s="6"/>
      <c r="J49" s="6"/>
      <c r="K49" s="6"/>
      <c r="L49" s="6"/>
    </row>
    <row r="50">
      <c r="B50" s="30"/>
      <c r="C50" s="30"/>
      <c r="D50" s="4"/>
      <c r="E50" s="4"/>
      <c r="F50" s="4"/>
      <c r="G50" s="21"/>
      <c r="H50" s="21"/>
      <c r="I50" s="21"/>
      <c r="J50" s="21"/>
      <c r="K50" s="4"/>
      <c r="L50" s="4"/>
    </row>
    <row r="51">
      <c r="B51" s="30"/>
      <c r="C51" s="30"/>
      <c r="D51" s="6"/>
      <c r="E51" s="6"/>
      <c r="F51" s="6"/>
      <c r="G51" s="26"/>
      <c r="H51" s="26"/>
      <c r="I51" s="26"/>
      <c r="J51" s="26"/>
      <c r="K51" s="6"/>
      <c r="L51" s="6"/>
    </row>
    <row r="52">
      <c r="B52" s="30"/>
      <c r="C52" s="30"/>
      <c r="D52" s="6"/>
      <c r="E52" s="6"/>
      <c r="F52" s="6"/>
      <c r="G52" s="6"/>
      <c r="H52" s="6"/>
      <c r="I52" s="6"/>
      <c r="J52" s="6"/>
      <c r="K52" s="6"/>
      <c r="L52" s="6"/>
    </row>
    <row r="53">
      <c r="B53" s="30"/>
      <c r="C53" s="30"/>
      <c r="D53" s="4"/>
      <c r="E53" s="4"/>
      <c r="F53" s="4"/>
      <c r="G53" s="21"/>
      <c r="H53" s="21"/>
      <c r="I53" s="21"/>
      <c r="J53" s="21"/>
      <c r="K53" s="4"/>
      <c r="L53" s="4"/>
    </row>
    <row r="54">
      <c r="B54" s="30"/>
      <c r="C54" s="30"/>
      <c r="D54" s="6"/>
      <c r="E54" s="6"/>
      <c r="F54" s="6"/>
      <c r="G54" s="26"/>
      <c r="H54" s="26"/>
      <c r="I54" s="26"/>
      <c r="J54" s="26"/>
      <c r="K54" s="6"/>
      <c r="L54" s="6"/>
    </row>
    <row r="55">
      <c r="B55" s="30"/>
      <c r="C55" s="30"/>
      <c r="D55" s="6"/>
      <c r="E55" s="6"/>
      <c r="F55" s="6"/>
      <c r="G55" s="6"/>
      <c r="H55" s="6"/>
      <c r="I55" s="6"/>
      <c r="J55" s="6"/>
      <c r="K55" s="6"/>
      <c r="L55" s="6"/>
    </row>
    <row r="56">
      <c r="B56" s="30"/>
      <c r="C56" s="30"/>
      <c r="D56" s="4"/>
      <c r="E56" s="4"/>
      <c r="F56" s="4"/>
      <c r="G56" s="21"/>
      <c r="H56" s="21"/>
      <c r="I56" s="21"/>
      <c r="J56" s="21"/>
      <c r="K56" s="4"/>
      <c r="L56" s="4"/>
    </row>
    <row r="57">
      <c r="B57" s="30"/>
      <c r="C57" s="30"/>
      <c r="D57" s="6"/>
      <c r="E57" s="6"/>
      <c r="F57" s="6"/>
      <c r="G57" s="26"/>
      <c r="H57" s="26"/>
      <c r="I57" s="26"/>
      <c r="J57" s="26"/>
      <c r="K57" s="6"/>
      <c r="L57" s="6"/>
    </row>
    <row r="58">
      <c r="B58" s="30"/>
      <c r="C58" s="30"/>
      <c r="D58" s="6"/>
      <c r="E58" s="6"/>
      <c r="F58" s="6"/>
      <c r="G58" s="6"/>
      <c r="H58" s="6"/>
      <c r="I58" s="6"/>
      <c r="J58" s="6"/>
      <c r="K58" s="6"/>
      <c r="L58" s="6"/>
    </row>
    <row r="59">
      <c r="B59" s="30"/>
      <c r="C59" s="30"/>
      <c r="D59" s="4"/>
      <c r="E59" s="4"/>
      <c r="F59" s="4"/>
      <c r="G59" s="21"/>
      <c r="H59" s="21"/>
      <c r="I59" s="21"/>
      <c r="J59" s="21"/>
      <c r="K59" s="4"/>
      <c r="L59" s="4"/>
    </row>
    <row r="60">
      <c r="B60" s="30"/>
      <c r="C60" s="30"/>
      <c r="D60" s="6"/>
      <c r="E60" s="6"/>
      <c r="F60" s="6"/>
      <c r="G60" s="26"/>
      <c r="H60" s="26"/>
      <c r="I60" s="26"/>
      <c r="J60" s="26"/>
      <c r="K60" s="6"/>
      <c r="L60" s="6"/>
    </row>
    <row r="61">
      <c r="B61" s="30"/>
      <c r="C61" s="30"/>
      <c r="D61" s="6"/>
      <c r="E61" s="6"/>
      <c r="F61" s="6"/>
      <c r="G61" s="6"/>
      <c r="H61" s="6"/>
      <c r="I61" s="6"/>
      <c r="J61" s="6"/>
      <c r="K61" s="6"/>
      <c r="L61" s="6"/>
    </row>
    <row r="62">
      <c r="B62" s="30"/>
      <c r="C62" s="30"/>
      <c r="D62" s="4"/>
      <c r="E62" s="4"/>
      <c r="F62" s="4"/>
      <c r="G62" s="21"/>
      <c r="H62" s="21"/>
      <c r="I62" s="21"/>
      <c r="J62" s="21"/>
      <c r="K62" s="4"/>
      <c r="L62" s="4"/>
    </row>
    <row r="63">
      <c r="B63" s="30"/>
      <c r="C63" s="30"/>
      <c r="D63" s="6"/>
      <c r="E63" s="6"/>
      <c r="F63" s="6"/>
      <c r="G63" s="26"/>
      <c r="H63" s="26"/>
      <c r="I63" s="26"/>
      <c r="J63" s="26"/>
      <c r="K63" s="6"/>
      <c r="L63" s="6"/>
    </row>
    <row r="64">
      <c r="B64" s="30"/>
      <c r="C64" s="30"/>
      <c r="D64" s="6"/>
      <c r="E64" s="6"/>
      <c r="F64" s="6"/>
      <c r="G64" s="6"/>
      <c r="H64" s="6"/>
      <c r="I64" s="6"/>
      <c r="J64" s="6"/>
      <c r="K64" s="6"/>
      <c r="L64" s="6"/>
    </row>
    <row r="65">
      <c r="B65" s="30"/>
      <c r="C65" s="30"/>
      <c r="D65" s="4"/>
      <c r="E65" s="4"/>
      <c r="F65" s="4"/>
      <c r="G65" s="21"/>
      <c r="H65" s="21"/>
      <c r="I65" s="21"/>
      <c r="J65" s="21"/>
      <c r="K65" s="4"/>
      <c r="L65" s="4"/>
    </row>
    <row r="66">
      <c r="B66" s="30"/>
      <c r="C66" s="30"/>
      <c r="D66" s="6"/>
      <c r="E66" s="6"/>
      <c r="F66" s="6"/>
      <c r="G66" s="26"/>
      <c r="H66" s="26"/>
      <c r="I66" s="26"/>
      <c r="J66" s="26"/>
      <c r="K66" s="6"/>
      <c r="L66" s="6"/>
    </row>
    <row r="67">
      <c r="B67" s="30"/>
      <c r="C67" s="30"/>
      <c r="D67" s="6"/>
      <c r="E67" s="6"/>
      <c r="F67" s="6"/>
      <c r="G67" s="6"/>
      <c r="H67" s="6"/>
      <c r="I67" s="6"/>
      <c r="J67" s="6"/>
      <c r="K67" s="6"/>
      <c r="L67" s="6"/>
    </row>
    <row r="68">
      <c r="B68" s="30"/>
      <c r="C68" s="30"/>
      <c r="D68" s="4"/>
      <c r="E68" s="4"/>
      <c r="F68" s="4"/>
      <c r="G68" s="21"/>
      <c r="H68" s="21"/>
      <c r="I68" s="21"/>
      <c r="J68" s="21"/>
      <c r="K68" s="4"/>
      <c r="L68" s="4"/>
    </row>
    <row r="69">
      <c r="B69" s="30"/>
      <c r="C69" s="30"/>
      <c r="D69" s="6"/>
      <c r="E69" s="6"/>
      <c r="F69" s="6"/>
      <c r="G69" s="26"/>
      <c r="H69" s="26"/>
      <c r="I69" s="26"/>
      <c r="J69" s="26"/>
      <c r="K69" s="6"/>
      <c r="L69" s="6"/>
    </row>
    <row r="70">
      <c r="B70" s="30"/>
      <c r="C70" s="30"/>
      <c r="D70" s="6"/>
      <c r="E70" s="6"/>
      <c r="F70" s="6"/>
      <c r="G70" s="6"/>
      <c r="H70" s="6"/>
      <c r="I70" s="6"/>
      <c r="J70" s="6"/>
      <c r="K70" s="6"/>
      <c r="L70" s="6"/>
    </row>
    <row r="71">
      <c r="B71" s="30"/>
      <c r="C71" s="30"/>
      <c r="D71" s="4"/>
      <c r="E71" s="4"/>
      <c r="F71" s="4"/>
      <c r="G71" s="21"/>
      <c r="H71" s="21"/>
      <c r="I71" s="21"/>
      <c r="J71" s="21"/>
      <c r="K71" s="4"/>
      <c r="L71" s="4"/>
    </row>
    <row r="72">
      <c r="B72" s="30"/>
      <c r="C72" s="30"/>
      <c r="D72" s="6"/>
      <c r="E72" s="6"/>
      <c r="F72" s="6"/>
      <c r="G72" s="26"/>
      <c r="H72" s="26"/>
      <c r="I72" s="26"/>
      <c r="J72" s="26"/>
      <c r="K72" s="6"/>
      <c r="L72" s="6"/>
    </row>
    <row r="73">
      <c r="B73" s="30"/>
      <c r="C73" s="30"/>
      <c r="D73" s="6"/>
      <c r="E73" s="6"/>
      <c r="F73" s="6"/>
      <c r="G73" s="6"/>
      <c r="H73" s="6"/>
      <c r="I73" s="6"/>
      <c r="J73" s="6"/>
      <c r="K73" s="6"/>
      <c r="L73" s="6"/>
    </row>
    <row r="74">
      <c r="B74" s="30"/>
      <c r="C74" s="30"/>
      <c r="D74" s="4"/>
      <c r="E74" s="4"/>
      <c r="F74" s="4"/>
      <c r="G74" s="21"/>
      <c r="H74" s="21"/>
      <c r="I74" s="21"/>
      <c r="J74" s="21"/>
      <c r="K74" s="4"/>
      <c r="L74" s="4"/>
    </row>
    <row r="75">
      <c r="B75" s="30"/>
      <c r="C75" s="30"/>
      <c r="D75" s="6"/>
      <c r="E75" s="6"/>
      <c r="F75" s="6"/>
      <c r="G75" s="26"/>
      <c r="H75" s="26"/>
      <c r="I75" s="26"/>
      <c r="J75" s="26"/>
      <c r="K75" s="6"/>
      <c r="L75" s="6"/>
    </row>
    <row r="76">
      <c r="B76" s="30"/>
      <c r="C76" s="30"/>
      <c r="D76" s="6"/>
      <c r="E76" s="6"/>
      <c r="F76" s="6"/>
      <c r="G76" s="6"/>
      <c r="H76" s="6"/>
      <c r="I76" s="6"/>
      <c r="J76" s="6"/>
      <c r="K76" s="6"/>
      <c r="L76" s="6"/>
    </row>
    <row r="77">
      <c r="B77" s="30"/>
      <c r="C77" s="30"/>
      <c r="D77" s="4"/>
      <c r="E77" s="4"/>
      <c r="F77" s="4"/>
      <c r="G77" s="21"/>
      <c r="H77" s="21"/>
      <c r="I77" s="21"/>
      <c r="J77" s="21"/>
      <c r="K77" s="4"/>
      <c r="L77" s="4"/>
    </row>
    <row r="78">
      <c r="B78" s="30"/>
      <c r="C78" s="30"/>
      <c r="D78" s="6"/>
      <c r="E78" s="6"/>
      <c r="F78" s="6"/>
      <c r="G78" s="26"/>
      <c r="H78" s="26"/>
      <c r="I78" s="26"/>
      <c r="J78" s="26"/>
      <c r="K78" s="6"/>
      <c r="L78" s="6"/>
    </row>
    <row r="79">
      <c r="B79" s="30"/>
      <c r="C79" s="30"/>
      <c r="D79" s="6"/>
      <c r="E79" s="6"/>
      <c r="F79" s="6"/>
      <c r="G79" s="6"/>
      <c r="H79" s="6"/>
      <c r="I79" s="6"/>
      <c r="J79" s="6"/>
      <c r="K79" s="6"/>
      <c r="L79" s="6"/>
    </row>
    <row r="80">
      <c r="B80" s="30"/>
      <c r="C80" s="30"/>
      <c r="D80" s="4"/>
      <c r="E80" s="4"/>
      <c r="F80" s="4"/>
      <c r="G80" s="21"/>
      <c r="H80" s="21"/>
      <c r="I80" s="21"/>
      <c r="J80" s="21"/>
      <c r="K80" s="4"/>
      <c r="L80" s="4"/>
    </row>
    <row r="81">
      <c r="B81" s="30"/>
      <c r="C81" s="30"/>
      <c r="D81" s="6"/>
      <c r="E81" s="6"/>
      <c r="F81" s="6"/>
      <c r="G81" s="26"/>
      <c r="H81" s="26"/>
      <c r="I81" s="26"/>
      <c r="J81" s="26"/>
      <c r="K81" s="6"/>
      <c r="L81" s="6"/>
    </row>
    <row r="82">
      <c r="B82" s="30"/>
      <c r="C82" s="30"/>
      <c r="D82" s="6"/>
      <c r="E82" s="6"/>
      <c r="F82" s="6"/>
      <c r="G82" s="6"/>
      <c r="H82" s="6"/>
      <c r="I82" s="6"/>
      <c r="J82" s="6"/>
      <c r="K82" s="6"/>
      <c r="L82" s="6"/>
    </row>
    <row r="83">
      <c r="B83" s="30"/>
      <c r="C83" s="30"/>
      <c r="D83" s="4"/>
      <c r="E83" s="4"/>
      <c r="F83" s="4"/>
      <c r="G83" s="21"/>
      <c r="H83" s="21"/>
      <c r="I83" s="21"/>
      <c r="J83" s="21"/>
      <c r="K83" s="4"/>
      <c r="L83" s="4"/>
    </row>
    <row r="84">
      <c r="B84" s="30"/>
      <c r="C84" s="30"/>
      <c r="D84" s="6"/>
      <c r="E84" s="6"/>
      <c r="F84" s="6"/>
      <c r="G84" s="26"/>
      <c r="H84" s="26"/>
      <c r="I84" s="26"/>
      <c r="J84" s="26"/>
      <c r="K84" s="6"/>
      <c r="L84" s="6"/>
    </row>
    <row r="85">
      <c r="B85" s="30"/>
      <c r="C85" s="30"/>
      <c r="D85" s="6"/>
      <c r="E85" s="6"/>
      <c r="F85" s="6"/>
      <c r="G85" s="6"/>
      <c r="H85" s="6"/>
      <c r="I85" s="6"/>
      <c r="J85" s="6"/>
      <c r="K85" s="6"/>
      <c r="L85" s="6"/>
    </row>
    <row r="86">
      <c r="B86" s="30"/>
      <c r="C86" s="30"/>
      <c r="D86" s="4"/>
      <c r="E86" s="4"/>
      <c r="F86" s="4"/>
      <c r="G86" s="21"/>
      <c r="H86" s="21"/>
      <c r="I86" s="21"/>
      <c r="J86" s="21"/>
      <c r="K86" s="4"/>
      <c r="L86" s="4"/>
    </row>
    <row r="87">
      <c r="B87" s="30"/>
      <c r="C87" s="30"/>
      <c r="D87" s="6"/>
      <c r="E87" s="6"/>
      <c r="F87" s="6"/>
      <c r="G87" s="26"/>
      <c r="H87" s="26"/>
      <c r="I87" s="26"/>
      <c r="J87" s="26"/>
      <c r="K87" s="6"/>
      <c r="L87" s="6"/>
    </row>
    <row r="88">
      <c r="B88" s="30"/>
      <c r="C88" s="30"/>
      <c r="D88" s="6"/>
      <c r="E88" s="6"/>
      <c r="F88" s="6"/>
      <c r="G88" s="6"/>
      <c r="H88" s="6"/>
      <c r="I88" s="6"/>
      <c r="J88" s="6"/>
      <c r="K88" s="6"/>
      <c r="L88" s="6"/>
    </row>
    <row r="89">
      <c r="B89" s="30"/>
      <c r="C89" s="30"/>
      <c r="D89" s="4"/>
      <c r="E89" s="4"/>
      <c r="F89" s="4"/>
      <c r="G89" s="21"/>
      <c r="H89" s="21"/>
      <c r="I89" s="21"/>
      <c r="J89" s="21"/>
      <c r="K89" s="4"/>
      <c r="L89" s="4"/>
    </row>
    <row r="90">
      <c r="B90" s="30"/>
      <c r="C90" s="30"/>
      <c r="D90" s="6"/>
      <c r="E90" s="6"/>
      <c r="F90" s="6"/>
      <c r="G90" s="26"/>
      <c r="H90" s="26"/>
      <c r="I90" s="26"/>
      <c r="J90" s="26"/>
      <c r="K90" s="6"/>
      <c r="L90" s="6"/>
    </row>
    <row r="91">
      <c r="B91" s="30"/>
      <c r="C91" s="30"/>
      <c r="D91" s="6"/>
      <c r="E91" s="6"/>
      <c r="F91" s="6"/>
      <c r="G91" s="6"/>
      <c r="H91" s="6"/>
      <c r="I91" s="6"/>
      <c r="J91" s="6"/>
      <c r="K91" s="6"/>
      <c r="L91" s="6"/>
    </row>
    <row r="92">
      <c r="B92" s="30"/>
      <c r="C92" s="30"/>
      <c r="D92" s="4"/>
      <c r="E92" s="4"/>
      <c r="F92" s="4"/>
      <c r="G92" s="21"/>
      <c r="H92" s="21"/>
      <c r="I92" s="21"/>
      <c r="J92" s="21"/>
      <c r="K92" s="4"/>
      <c r="L92" s="4"/>
    </row>
    <row r="93">
      <c r="B93" s="30"/>
      <c r="C93" s="30"/>
      <c r="D93" s="6"/>
      <c r="E93" s="6"/>
      <c r="F93" s="6"/>
      <c r="G93" s="26"/>
      <c r="H93" s="26"/>
      <c r="I93" s="26"/>
      <c r="J93" s="26"/>
      <c r="K93" s="6"/>
      <c r="L93" s="6"/>
    </row>
    <row r="94">
      <c r="B94" s="30"/>
      <c r="C94" s="30"/>
      <c r="D94" s="6"/>
      <c r="E94" s="6"/>
      <c r="F94" s="6"/>
      <c r="G94" s="6"/>
      <c r="H94" s="6"/>
      <c r="I94" s="6"/>
      <c r="J94" s="6"/>
      <c r="K94" s="6"/>
      <c r="L94" s="6"/>
    </row>
    <row r="95">
      <c r="B95" s="30"/>
      <c r="C95" s="30"/>
      <c r="D95" s="4"/>
      <c r="E95" s="4"/>
      <c r="F95" s="4"/>
      <c r="G95" s="21"/>
      <c r="H95" s="21"/>
      <c r="I95" s="21"/>
      <c r="J95" s="21"/>
      <c r="K95" s="4"/>
      <c r="L95" s="4"/>
    </row>
    <row r="96">
      <c r="B96" s="30"/>
      <c r="C96" s="30"/>
      <c r="D96" s="6"/>
      <c r="E96" s="6"/>
      <c r="F96" s="6"/>
      <c r="G96" s="26"/>
      <c r="H96" s="26"/>
      <c r="I96" s="26"/>
      <c r="J96" s="26"/>
      <c r="K96" s="6"/>
      <c r="L96" s="6"/>
    </row>
    <row r="97">
      <c r="B97" s="30"/>
      <c r="C97" s="30"/>
      <c r="D97" s="6"/>
      <c r="E97" s="6"/>
      <c r="F97" s="6"/>
      <c r="G97" s="6"/>
      <c r="H97" s="6"/>
      <c r="I97" s="6"/>
      <c r="J97" s="6"/>
      <c r="K97" s="6"/>
      <c r="L97" s="6"/>
    </row>
    <row r="98">
      <c r="B98" s="30"/>
      <c r="C98" s="30"/>
      <c r="D98" s="4"/>
      <c r="E98" s="4"/>
      <c r="F98" s="4"/>
      <c r="G98" s="21"/>
      <c r="H98" s="21"/>
      <c r="I98" s="21"/>
      <c r="J98" s="21"/>
      <c r="K98" s="4"/>
      <c r="L98" s="4"/>
    </row>
    <row r="99">
      <c r="B99" s="30"/>
      <c r="C99" s="30"/>
      <c r="D99" s="6"/>
      <c r="E99" s="6"/>
      <c r="F99" s="6"/>
      <c r="G99" s="26"/>
      <c r="H99" s="26"/>
      <c r="I99" s="26"/>
      <c r="J99" s="26"/>
      <c r="K99" s="6"/>
      <c r="L99" s="6"/>
    </row>
    <row r="100">
      <c r="B100" s="30"/>
      <c r="C100" s="30"/>
      <c r="D100" s="6"/>
      <c r="E100" s="6"/>
      <c r="F100" s="6"/>
      <c r="G100" s="6"/>
      <c r="H100" s="6"/>
      <c r="I100" s="6"/>
      <c r="J100" s="6"/>
      <c r="K100" s="6"/>
      <c r="L100" s="6"/>
    </row>
    <row r="101">
      <c r="B101" s="30"/>
      <c r="C101" s="30"/>
      <c r="D101" s="4"/>
      <c r="E101" s="4"/>
      <c r="F101" s="4"/>
      <c r="G101" s="21"/>
      <c r="H101" s="21"/>
      <c r="I101" s="21"/>
      <c r="J101" s="21"/>
      <c r="K101" s="4"/>
      <c r="L101" s="4"/>
    </row>
    <row r="102">
      <c r="B102" s="30"/>
      <c r="C102" s="30"/>
      <c r="D102" s="6"/>
      <c r="E102" s="6"/>
      <c r="F102" s="6"/>
      <c r="G102" s="26"/>
      <c r="H102" s="26"/>
      <c r="I102" s="26"/>
      <c r="J102" s="26"/>
      <c r="K102" s="6"/>
      <c r="L102" s="6"/>
    </row>
    <row r="103">
      <c r="B103" s="30"/>
      <c r="C103" s="30"/>
      <c r="D103" s="6"/>
      <c r="E103" s="6"/>
      <c r="F103" s="6"/>
      <c r="G103" s="6"/>
      <c r="H103" s="6"/>
      <c r="I103" s="6"/>
      <c r="J103" s="6"/>
      <c r="K103" s="6"/>
      <c r="L103" s="6"/>
    </row>
    <row r="104">
      <c r="B104" s="30"/>
      <c r="C104" s="30"/>
      <c r="D104" s="4"/>
      <c r="E104" s="4"/>
      <c r="F104" s="4"/>
      <c r="G104" s="21"/>
      <c r="H104" s="21"/>
      <c r="I104" s="21"/>
      <c r="J104" s="21"/>
      <c r="K104" s="4"/>
      <c r="L104" s="4"/>
    </row>
    <row r="105">
      <c r="B105" s="30"/>
      <c r="C105" s="30"/>
      <c r="D105" s="6"/>
      <c r="E105" s="6"/>
      <c r="F105" s="6"/>
      <c r="G105" s="26"/>
      <c r="H105" s="26"/>
      <c r="I105" s="26"/>
      <c r="J105" s="26"/>
      <c r="K105" s="6"/>
      <c r="L105" s="6"/>
    </row>
    <row r="106">
      <c r="B106" s="30"/>
      <c r="C106" s="30"/>
      <c r="D106" s="6"/>
      <c r="E106" s="6"/>
      <c r="F106" s="6"/>
      <c r="G106" s="6"/>
      <c r="H106" s="6"/>
      <c r="I106" s="6"/>
      <c r="J106" s="6"/>
      <c r="K106" s="6"/>
      <c r="L106" s="6"/>
    </row>
    <row r="107">
      <c r="B107" s="30"/>
      <c r="C107" s="30"/>
      <c r="D107" s="4"/>
      <c r="E107" s="4"/>
      <c r="F107" s="4"/>
      <c r="G107" s="21"/>
      <c r="H107" s="21"/>
      <c r="I107" s="21"/>
      <c r="J107" s="21"/>
      <c r="K107" s="4"/>
      <c r="L107" s="4"/>
    </row>
    <row r="108">
      <c r="B108" s="30"/>
      <c r="C108" s="30"/>
      <c r="D108" s="6"/>
      <c r="E108" s="6"/>
      <c r="F108" s="6"/>
      <c r="G108" s="26"/>
      <c r="H108" s="26"/>
      <c r="I108" s="26"/>
      <c r="J108" s="26"/>
      <c r="K108" s="6"/>
      <c r="L108" s="6"/>
    </row>
    <row r="109">
      <c r="B109" s="30"/>
      <c r="C109" s="30"/>
      <c r="D109" s="6"/>
      <c r="E109" s="6"/>
      <c r="F109" s="6"/>
      <c r="G109" s="6"/>
      <c r="H109" s="6"/>
      <c r="I109" s="6"/>
      <c r="J109" s="6"/>
      <c r="K109" s="6"/>
      <c r="L109" s="6"/>
    </row>
    <row r="110">
      <c r="B110" s="30"/>
      <c r="C110" s="30"/>
      <c r="D110" s="4"/>
      <c r="E110" s="4"/>
      <c r="F110" s="4"/>
      <c r="G110" s="21"/>
      <c r="H110" s="21"/>
      <c r="I110" s="21"/>
      <c r="J110" s="21"/>
      <c r="K110" s="4"/>
      <c r="L110" s="4"/>
    </row>
    <row r="111">
      <c r="B111" s="30"/>
      <c r="C111" s="30"/>
      <c r="D111" s="6"/>
      <c r="E111" s="6"/>
      <c r="F111" s="6"/>
      <c r="G111" s="26"/>
      <c r="H111" s="26"/>
      <c r="I111" s="26"/>
      <c r="J111" s="26"/>
      <c r="K111" s="6"/>
      <c r="L111" s="6"/>
    </row>
    <row r="112">
      <c r="B112" s="30"/>
      <c r="C112" s="30"/>
      <c r="D112" s="6"/>
      <c r="E112" s="6"/>
      <c r="F112" s="6"/>
      <c r="G112" s="6"/>
      <c r="H112" s="6"/>
      <c r="I112" s="6"/>
      <c r="J112" s="6"/>
      <c r="K112" s="6"/>
      <c r="L112" s="6"/>
    </row>
    <row r="113">
      <c r="B113" s="30"/>
      <c r="C113" s="30"/>
      <c r="D113" s="4"/>
      <c r="E113" s="4"/>
      <c r="F113" s="4"/>
      <c r="G113" s="21"/>
      <c r="H113" s="21"/>
      <c r="I113" s="21"/>
      <c r="J113" s="21"/>
      <c r="K113" s="4"/>
      <c r="L113" s="4"/>
    </row>
    <row r="114">
      <c r="B114" s="30"/>
      <c r="C114" s="30"/>
      <c r="D114" s="6"/>
      <c r="E114" s="6"/>
      <c r="F114" s="6"/>
      <c r="G114" s="26"/>
      <c r="H114" s="26"/>
      <c r="I114" s="26"/>
      <c r="J114" s="26"/>
      <c r="K114" s="6"/>
      <c r="L114" s="6"/>
    </row>
    <row r="115">
      <c r="B115" s="30"/>
      <c r="C115" s="30"/>
      <c r="D115" s="6"/>
      <c r="E115" s="6"/>
      <c r="F115" s="6"/>
      <c r="G115" s="6"/>
      <c r="H115" s="6"/>
      <c r="I115" s="6"/>
      <c r="J115" s="6"/>
      <c r="K115" s="6"/>
      <c r="L115" s="6"/>
    </row>
    <row r="116">
      <c r="B116" s="30"/>
      <c r="C116" s="30"/>
      <c r="D116" s="4"/>
      <c r="E116" s="4"/>
      <c r="F116" s="4"/>
      <c r="G116" s="21"/>
      <c r="H116" s="21"/>
      <c r="I116" s="21"/>
      <c r="J116" s="21"/>
      <c r="K116" s="4"/>
      <c r="L116" s="4"/>
    </row>
    <row r="117">
      <c r="B117" s="30"/>
      <c r="C117" s="30"/>
      <c r="D117" s="6"/>
      <c r="E117" s="6"/>
      <c r="F117" s="6"/>
      <c r="G117" s="26"/>
      <c r="H117" s="26"/>
      <c r="I117" s="26"/>
      <c r="J117" s="26"/>
      <c r="K117" s="6"/>
      <c r="L117" s="6"/>
    </row>
    <row r="118">
      <c r="B118" s="30"/>
      <c r="C118" s="30"/>
      <c r="D118" s="6"/>
      <c r="E118" s="6"/>
      <c r="F118" s="6"/>
      <c r="G118" s="6"/>
      <c r="H118" s="6"/>
      <c r="I118" s="6"/>
      <c r="J118" s="6"/>
      <c r="K118" s="6"/>
      <c r="L118" s="6"/>
    </row>
    <row r="119">
      <c r="B119" s="30"/>
      <c r="C119" s="30"/>
      <c r="D119" s="4"/>
      <c r="E119" s="4"/>
      <c r="F119" s="4"/>
      <c r="G119" s="21"/>
      <c r="H119" s="21"/>
      <c r="I119" s="21"/>
      <c r="J119" s="21"/>
      <c r="K119" s="4"/>
      <c r="L119" s="4"/>
    </row>
    <row r="120">
      <c r="B120" s="30"/>
      <c r="C120" s="30"/>
      <c r="D120" s="6"/>
      <c r="E120" s="6"/>
      <c r="F120" s="6"/>
      <c r="G120" s="26"/>
      <c r="H120" s="26"/>
      <c r="I120" s="26"/>
      <c r="J120" s="26"/>
      <c r="K120" s="6"/>
      <c r="L120" s="6"/>
    </row>
    <row r="121">
      <c r="B121" s="30"/>
      <c r="C121" s="30"/>
      <c r="D121" s="6"/>
      <c r="E121" s="6"/>
      <c r="F121" s="6"/>
      <c r="G121" s="6"/>
      <c r="H121" s="6"/>
      <c r="I121" s="6"/>
      <c r="J121" s="6"/>
      <c r="K121" s="6"/>
      <c r="L121" s="6"/>
    </row>
    <row r="122">
      <c r="B122" s="30"/>
      <c r="C122" s="30"/>
      <c r="D122" s="4"/>
      <c r="E122" s="4"/>
      <c r="F122" s="4"/>
      <c r="G122" s="21"/>
      <c r="H122" s="21"/>
      <c r="I122" s="21"/>
      <c r="J122" s="21"/>
      <c r="K122" s="4"/>
      <c r="L122" s="4"/>
    </row>
    <row r="123">
      <c r="B123" s="30"/>
      <c r="C123" s="30"/>
      <c r="D123" s="6"/>
      <c r="E123" s="6"/>
      <c r="F123" s="6"/>
      <c r="G123" s="26"/>
      <c r="H123" s="26"/>
      <c r="I123" s="26"/>
      <c r="J123" s="26"/>
      <c r="K123" s="6"/>
      <c r="L123" s="6"/>
    </row>
    <row r="124">
      <c r="B124" s="30"/>
      <c r="C124" s="30"/>
      <c r="D124" s="6"/>
      <c r="E124" s="6"/>
      <c r="F124" s="6"/>
      <c r="G124" s="6"/>
      <c r="H124" s="6"/>
      <c r="I124" s="6"/>
      <c r="J124" s="6"/>
      <c r="K124" s="6"/>
      <c r="L124" s="6"/>
    </row>
    <row r="125">
      <c r="B125" s="30"/>
      <c r="C125" s="30"/>
      <c r="D125" s="4"/>
      <c r="E125" s="4"/>
      <c r="F125" s="4"/>
      <c r="G125" s="21"/>
      <c r="H125" s="21"/>
      <c r="I125" s="21"/>
      <c r="J125" s="21"/>
      <c r="K125" s="4"/>
      <c r="L125" s="4"/>
    </row>
    <row r="126">
      <c r="B126" s="30"/>
      <c r="C126" s="30"/>
      <c r="D126" s="6"/>
      <c r="E126" s="6"/>
      <c r="F126" s="6"/>
      <c r="G126" s="26"/>
      <c r="H126" s="26"/>
      <c r="I126" s="26"/>
      <c r="J126" s="26"/>
      <c r="K126" s="6"/>
      <c r="L126" s="6"/>
    </row>
    <row r="127">
      <c r="B127" s="30"/>
      <c r="C127" s="30"/>
      <c r="D127" s="6"/>
      <c r="E127" s="6"/>
      <c r="F127" s="6"/>
      <c r="G127" s="6"/>
      <c r="H127" s="6"/>
      <c r="I127" s="6"/>
      <c r="J127" s="6"/>
      <c r="K127" s="6"/>
      <c r="L127" s="6"/>
    </row>
    <row r="128">
      <c r="B128" s="30"/>
      <c r="C128" s="30"/>
      <c r="D128" s="4"/>
      <c r="E128" s="4"/>
      <c r="F128" s="4"/>
      <c r="G128" s="21"/>
      <c r="H128" s="21"/>
      <c r="I128" s="21"/>
      <c r="J128" s="21"/>
      <c r="K128" s="4"/>
      <c r="L128" s="4"/>
    </row>
    <row r="129">
      <c r="B129" s="30"/>
      <c r="C129" s="30"/>
      <c r="D129" s="6"/>
      <c r="E129" s="6"/>
      <c r="F129" s="6"/>
      <c r="G129" s="26"/>
      <c r="H129" s="26"/>
      <c r="I129" s="26"/>
      <c r="J129" s="26"/>
      <c r="K129" s="6"/>
      <c r="L129" s="6"/>
    </row>
    <row r="130">
      <c r="B130" s="30"/>
      <c r="C130" s="30"/>
      <c r="D130" s="6"/>
      <c r="E130" s="6"/>
      <c r="F130" s="6"/>
      <c r="G130" s="6"/>
      <c r="H130" s="6"/>
      <c r="I130" s="6"/>
      <c r="J130" s="6"/>
      <c r="K130" s="6"/>
      <c r="L130" s="6"/>
    </row>
    <row r="131">
      <c r="B131" s="30"/>
      <c r="C131" s="30"/>
      <c r="D131" s="4"/>
      <c r="E131" s="4"/>
      <c r="F131" s="4"/>
      <c r="G131" s="21"/>
      <c r="H131" s="21"/>
      <c r="I131" s="21"/>
      <c r="J131" s="21"/>
      <c r="K131" s="4"/>
      <c r="L131" s="4"/>
    </row>
    <row r="132">
      <c r="B132" s="30"/>
      <c r="C132" s="30"/>
      <c r="D132" s="6"/>
      <c r="E132" s="6"/>
      <c r="F132" s="6"/>
      <c r="G132" s="26"/>
      <c r="H132" s="26"/>
      <c r="I132" s="26"/>
      <c r="J132" s="26"/>
      <c r="K132" s="6"/>
      <c r="L132" s="6"/>
    </row>
    <row r="133">
      <c r="B133" s="30"/>
      <c r="C133" s="30"/>
      <c r="D133" s="6"/>
      <c r="E133" s="6"/>
      <c r="F133" s="6"/>
      <c r="G133" s="6"/>
      <c r="H133" s="6"/>
      <c r="I133" s="6"/>
      <c r="J133" s="6"/>
      <c r="K133" s="6"/>
      <c r="L133" s="6"/>
    </row>
    <row r="134">
      <c r="B134" s="30"/>
      <c r="C134" s="30"/>
      <c r="D134" s="4"/>
      <c r="E134" s="4"/>
      <c r="F134" s="4"/>
      <c r="G134" s="21"/>
      <c r="H134" s="21"/>
      <c r="I134" s="21"/>
      <c r="J134" s="21"/>
      <c r="K134" s="4"/>
      <c r="L134" s="4"/>
    </row>
    <row r="135">
      <c r="B135" s="30"/>
      <c r="C135" s="30"/>
      <c r="D135" s="6"/>
      <c r="E135" s="6"/>
      <c r="F135" s="6"/>
      <c r="G135" s="26"/>
      <c r="H135" s="26"/>
      <c r="I135" s="26"/>
      <c r="J135" s="26"/>
      <c r="K135" s="6"/>
      <c r="L135" s="6"/>
    </row>
    <row r="136">
      <c r="B136" s="30"/>
      <c r="C136" s="30"/>
      <c r="D136" s="6"/>
      <c r="E136" s="6"/>
      <c r="F136" s="6"/>
      <c r="G136" s="6"/>
      <c r="H136" s="6"/>
      <c r="I136" s="6"/>
      <c r="J136" s="6"/>
      <c r="K136" s="6"/>
      <c r="L136" s="6"/>
    </row>
    <row r="137">
      <c r="B137" s="30"/>
      <c r="C137" s="30"/>
      <c r="D137" s="4"/>
      <c r="E137" s="4"/>
      <c r="F137" s="4"/>
      <c r="G137" s="21"/>
      <c r="H137" s="21"/>
      <c r="I137" s="21"/>
      <c r="J137" s="21"/>
      <c r="K137" s="4"/>
      <c r="L137" s="4"/>
    </row>
    <row r="138">
      <c r="B138" s="30"/>
      <c r="C138" s="30"/>
      <c r="D138" s="6"/>
      <c r="E138" s="6"/>
      <c r="F138" s="6"/>
      <c r="G138" s="26"/>
      <c r="H138" s="26"/>
      <c r="I138" s="26"/>
      <c r="J138" s="26"/>
      <c r="K138" s="6"/>
      <c r="L138" s="6"/>
    </row>
    <row r="139">
      <c r="B139" s="30"/>
      <c r="C139" s="30"/>
      <c r="D139" s="6"/>
      <c r="E139" s="6"/>
      <c r="F139" s="6"/>
      <c r="G139" s="6"/>
      <c r="H139" s="6"/>
      <c r="I139" s="6"/>
      <c r="J139" s="6"/>
      <c r="K139" s="6"/>
      <c r="L139" s="6"/>
    </row>
    <row r="140">
      <c r="B140" s="30"/>
      <c r="C140" s="30"/>
      <c r="D140" s="4"/>
      <c r="E140" s="4"/>
      <c r="F140" s="4"/>
      <c r="G140" s="21"/>
      <c r="H140" s="21"/>
      <c r="I140" s="21"/>
      <c r="J140" s="21"/>
      <c r="K140" s="4"/>
      <c r="L140" s="4"/>
    </row>
    <row r="141">
      <c r="B141" s="30"/>
      <c r="C141" s="30"/>
      <c r="D141" s="6"/>
      <c r="E141" s="6"/>
      <c r="F141" s="6"/>
      <c r="G141" s="26"/>
      <c r="H141" s="26"/>
      <c r="I141" s="26"/>
      <c r="J141" s="26"/>
      <c r="K141" s="6"/>
      <c r="L141" s="6"/>
    </row>
    <row r="142">
      <c r="B142" s="30"/>
      <c r="C142" s="30"/>
      <c r="D142" s="6"/>
      <c r="E142" s="6"/>
      <c r="F142" s="6"/>
      <c r="G142" s="6"/>
      <c r="H142" s="6"/>
      <c r="I142" s="6"/>
      <c r="J142" s="6"/>
      <c r="K142" s="6"/>
      <c r="L142" s="6"/>
    </row>
    <row r="143">
      <c r="B143" s="30"/>
      <c r="C143" s="30"/>
      <c r="D143" s="4"/>
      <c r="E143" s="4"/>
      <c r="F143" s="4"/>
      <c r="G143" s="21"/>
      <c r="H143" s="21"/>
      <c r="I143" s="21"/>
      <c r="J143" s="21"/>
      <c r="K143" s="4"/>
      <c r="L143" s="4"/>
    </row>
    <row r="144">
      <c r="B144" s="30"/>
      <c r="C144" s="30"/>
      <c r="D144" s="6"/>
      <c r="E144" s="6"/>
      <c r="F144" s="6"/>
      <c r="G144" s="26"/>
      <c r="H144" s="26"/>
      <c r="I144" s="26"/>
      <c r="J144" s="26"/>
      <c r="K144" s="6"/>
      <c r="L144" s="6"/>
    </row>
    <row r="145">
      <c r="B145" s="30"/>
      <c r="C145" s="30"/>
      <c r="D145" s="6"/>
      <c r="E145" s="6"/>
      <c r="F145" s="6"/>
      <c r="G145" s="6"/>
      <c r="H145" s="6"/>
      <c r="I145" s="6"/>
      <c r="J145" s="6"/>
      <c r="K145" s="6"/>
      <c r="L145" s="6"/>
    </row>
    <row r="146">
      <c r="B146" s="30"/>
      <c r="C146" s="30"/>
      <c r="D146" s="4"/>
      <c r="E146" s="4"/>
      <c r="F146" s="4"/>
      <c r="G146" s="21"/>
      <c r="H146" s="21"/>
      <c r="I146" s="21"/>
      <c r="J146" s="21"/>
      <c r="K146" s="4"/>
      <c r="L146" s="4"/>
    </row>
    <row r="147">
      <c r="B147" s="30"/>
      <c r="C147" s="30"/>
      <c r="D147" s="6"/>
      <c r="E147" s="6"/>
      <c r="F147" s="6"/>
      <c r="G147" s="26"/>
      <c r="H147" s="26"/>
      <c r="I147" s="26"/>
      <c r="J147" s="26"/>
      <c r="K147" s="6"/>
      <c r="L147" s="6"/>
    </row>
    <row r="148">
      <c r="B148" s="30"/>
      <c r="C148" s="30"/>
      <c r="D148" s="6"/>
      <c r="E148" s="6"/>
      <c r="F148" s="6"/>
      <c r="G148" s="6"/>
      <c r="H148" s="6"/>
      <c r="I148" s="6"/>
      <c r="J148" s="6"/>
      <c r="K148" s="6"/>
      <c r="L148" s="6"/>
    </row>
    <row r="149">
      <c r="B149" s="30"/>
      <c r="C149" s="30"/>
      <c r="D149" s="4"/>
      <c r="E149" s="4"/>
      <c r="F149" s="4"/>
      <c r="G149" s="21"/>
      <c r="H149" s="21"/>
      <c r="I149" s="21"/>
      <c r="J149" s="21"/>
      <c r="K149" s="4"/>
      <c r="L149" s="4"/>
    </row>
    <row r="150">
      <c r="B150" s="30"/>
      <c r="C150" s="30"/>
      <c r="D150" s="6"/>
      <c r="E150" s="6"/>
      <c r="F150" s="6"/>
      <c r="G150" s="26"/>
      <c r="H150" s="26"/>
      <c r="I150" s="26"/>
      <c r="J150" s="26"/>
      <c r="K150" s="6"/>
      <c r="L150" s="6"/>
    </row>
    <row r="151">
      <c r="B151" s="30"/>
      <c r="C151" s="30"/>
      <c r="D151" s="6"/>
      <c r="E151" s="6"/>
      <c r="F151" s="6"/>
      <c r="G151" s="6"/>
      <c r="H151" s="6"/>
      <c r="I151" s="6"/>
      <c r="J151" s="6"/>
      <c r="K151" s="6"/>
      <c r="L151" s="6"/>
    </row>
    <row r="152">
      <c r="B152" s="30"/>
      <c r="C152" s="30"/>
      <c r="D152" s="4"/>
      <c r="E152" s="4"/>
      <c r="F152" s="4"/>
      <c r="G152" s="21"/>
      <c r="H152" s="21"/>
      <c r="I152" s="21"/>
      <c r="J152" s="21"/>
      <c r="K152" s="4"/>
      <c r="L152" s="4"/>
    </row>
    <row r="153">
      <c r="B153" s="30"/>
      <c r="C153" s="30"/>
      <c r="D153" s="6"/>
      <c r="E153" s="6"/>
      <c r="F153" s="6"/>
      <c r="G153" s="26"/>
      <c r="H153" s="26"/>
      <c r="I153" s="26"/>
      <c r="J153" s="26"/>
      <c r="K153" s="6"/>
      <c r="L153" s="6"/>
    </row>
    <row r="154">
      <c r="B154" s="30"/>
      <c r="C154" s="30"/>
      <c r="D154" s="6"/>
      <c r="E154" s="6"/>
      <c r="F154" s="6"/>
      <c r="G154" s="6"/>
      <c r="H154" s="6"/>
      <c r="I154" s="6"/>
      <c r="J154" s="6"/>
      <c r="K154" s="6"/>
      <c r="L154" s="6"/>
    </row>
    <row r="155">
      <c r="B155" s="30"/>
      <c r="C155" s="30"/>
      <c r="D155" s="4"/>
      <c r="E155" s="4"/>
      <c r="F155" s="4"/>
      <c r="G155" s="21"/>
      <c r="H155" s="21"/>
      <c r="I155" s="21"/>
      <c r="J155" s="21"/>
      <c r="K155" s="4"/>
      <c r="L155" s="4"/>
    </row>
    <row r="156">
      <c r="B156" s="30"/>
      <c r="C156" s="30"/>
      <c r="D156" s="6"/>
      <c r="E156" s="6"/>
      <c r="F156" s="6"/>
      <c r="G156" s="26"/>
      <c r="H156" s="26"/>
      <c r="I156" s="26"/>
      <c r="J156" s="26"/>
      <c r="K156" s="6"/>
      <c r="L156" s="6"/>
    </row>
    <row r="157">
      <c r="B157" s="30"/>
      <c r="C157" s="30"/>
      <c r="D157" s="6"/>
      <c r="E157" s="6"/>
      <c r="F157" s="6"/>
      <c r="G157" s="6"/>
      <c r="H157" s="6"/>
      <c r="I157" s="6"/>
      <c r="J157" s="6"/>
      <c r="K157" s="6"/>
      <c r="L157" s="6"/>
    </row>
    <row r="158">
      <c r="B158" s="30"/>
      <c r="C158" s="30"/>
      <c r="D158" s="4"/>
      <c r="E158" s="4"/>
      <c r="F158" s="4"/>
      <c r="G158" s="21"/>
      <c r="H158" s="21"/>
      <c r="I158" s="21"/>
      <c r="J158" s="21"/>
      <c r="K158" s="4"/>
      <c r="L158" s="4"/>
    </row>
    <row r="159">
      <c r="B159" s="30"/>
      <c r="C159" s="30"/>
      <c r="D159" s="6"/>
      <c r="E159" s="6"/>
      <c r="F159" s="6"/>
      <c r="G159" s="26"/>
      <c r="H159" s="26"/>
      <c r="I159" s="26"/>
      <c r="J159" s="26"/>
      <c r="K159" s="6"/>
      <c r="L159" s="6"/>
    </row>
    <row r="160">
      <c r="B160" s="30"/>
      <c r="C160" s="30"/>
      <c r="D160" s="6"/>
      <c r="E160" s="6"/>
      <c r="F160" s="6"/>
      <c r="G160" s="6"/>
      <c r="H160" s="6"/>
      <c r="I160" s="6"/>
      <c r="J160" s="6"/>
      <c r="K160" s="6"/>
      <c r="L160" s="6"/>
    </row>
    <row r="161">
      <c r="B161" s="30"/>
      <c r="C161" s="30"/>
      <c r="D161" s="4"/>
      <c r="E161" s="4"/>
      <c r="F161" s="4"/>
      <c r="G161" s="21"/>
      <c r="H161" s="21"/>
      <c r="I161" s="21"/>
      <c r="J161" s="21"/>
      <c r="K161" s="4"/>
      <c r="L161" s="4"/>
    </row>
    <row r="162">
      <c r="B162" s="30"/>
      <c r="C162" s="30"/>
      <c r="D162" s="6"/>
      <c r="E162" s="6"/>
      <c r="F162" s="6"/>
      <c r="G162" s="26"/>
      <c r="H162" s="26"/>
      <c r="I162" s="26"/>
      <c r="J162" s="26"/>
      <c r="K162" s="6"/>
      <c r="L162" s="6"/>
    </row>
    <row r="163">
      <c r="B163" s="30"/>
      <c r="C163" s="30"/>
      <c r="D163" s="6"/>
      <c r="E163" s="6"/>
      <c r="F163" s="6"/>
      <c r="G163" s="6"/>
      <c r="H163" s="6"/>
      <c r="I163" s="6"/>
      <c r="J163" s="6"/>
      <c r="K163" s="6"/>
      <c r="L163" s="6"/>
    </row>
    <row r="164">
      <c r="B164" s="30"/>
      <c r="C164" s="30"/>
      <c r="D164" s="4"/>
      <c r="E164" s="4"/>
      <c r="F164" s="4"/>
      <c r="G164" s="21"/>
      <c r="H164" s="21"/>
      <c r="I164" s="21"/>
      <c r="J164" s="21"/>
      <c r="K164" s="4"/>
      <c r="L164" s="4"/>
    </row>
    <row r="165">
      <c r="B165" s="30"/>
      <c r="C165" s="30"/>
      <c r="D165" s="6"/>
      <c r="E165" s="6"/>
      <c r="F165" s="6"/>
      <c r="G165" s="26"/>
      <c r="H165" s="26"/>
      <c r="I165" s="26"/>
      <c r="J165" s="26"/>
      <c r="K165" s="6"/>
      <c r="L165" s="6"/>
    </row>
    <row r="166">
      <c r="B166" s="30"/>
      <c r="C166" s="30"/>
      <c r="D166" s="6"/>
      <c r="E166" s="6"/>
      <c r="F166" s="6"/>
      <c r="G166" s="6"/>
      <c r="H166" s="6"/>
      <c r="I166" s="6"/>
      <c r="J166" s="6"/>
      <c r="K166" s="6"/>
      <c r="L166" s="6"/>
    </row>
    <row r="167">
      <c r="B167" s="30"/>
      <c r="C167" s="30"/>
      <c r="D167" s="4"/>
      <c r="E167" s="4"/>
      <c r="F167" s="4"/>
      <c r="G167" s="21"/>
      <c r="H167" s="21"/>
      <c r="I167" s="21"/>
      <c r="J167" s="21"/>
      <c r="K167" s="4"/>
      <c r="L167" s="4"/>
    </row>
    <row r="168">
      <c r="B168" s="30"/>
      <c r="C168" s="30"/>
      <c r="D168" s="6"/>
      <c r="E168" s="6"/>
      <c r="F168" s="6"/>
      <c r="G168" s="26"/>
      <c r="H168" s="26"/>
      <c r="I168" s="26"/>
      <c r="J168" s="26"/>
      <c r="K168" s="6"/>
      <c r="L168" s="6"/>
    </row>
    <row r="169">
      <c r="B169" s="30"/>
      <c r="C169" s="30"/>
      <c r="D169" s="6"/>
      <c r="E169" s="6"/>
      <c r="F169" s="6"/>
      <c r="G169" s="6"/>
      <c r="H169" s="6"/>
      <c r="I169" s="6"/>
      <c r="J169" s="6"/>
      <c r="K169" s="6"/>
      <c r="L169" s="6"/>
    </row>
    <row r="170">
      <c r="B170" s="30"/>
      <c r="C170" s="30"/>
      <c r="D170" s="4"/>
      <c r="E170" s="4"/>
      <c r="F170" s="4"/>
      <c r="G170" s="21"/>
      <c r="H170" s="21"/>
      <c r="I170" s="21"/>
      <c r="J170" s="21"/>
      <c r="K170" s="4"/>
      <c r="L170" s="4"/>
    </row>
    <row r="171">
      <c r="B171" s="30"/>
      <c r="C171" s="30"/>
      <c r="D171" s="6"/>
      <c r="E171" s="6"/>
      <c r="F171" s="6"/>
      <c r="G171" s="26"/>
      <c r="H171" s="26"/>
      <c r="I171" s="26"/>
      <c r="J171" s="26"/>
      <c r="K171" s="6"/>
      <c r="L171" s="6"/>
    </row>
    <row r="172">
      <c r="B172" s="30"/>
      <c r="C172" s="30"/>
      <c r="D172" s="6"/>
      <c r="E172" s="6"/>
      <c r="F172" s="6"/>
      <c r="G172" s="6"/>
      <c r="H172" s="6"/>
      <c r="I172" s="6"/>
      <c r="J172" s="6"/>
      <c r="K172" s="6"/>
      <c r="L172" s="6"/>
    </row>
    <row r="173">
      <c r="B173" s="30"/>
      <c r="C173" s="30"/>
    </row>
    <row r="174">
      <c r="B174" s="30"/>
      <c r="C174" s="30"/>
    </row>
    <row r="175">
      <c r="B175" s="30"/>
      <c r="C175" s="30"/>
    </row>
    <row r="176">
      <c r="B176" s="30"/>
      <c r="C176" s="30"/>
    </row>
    <row r="177">
      <c r="B177" s="30"/>
      <c r="C177" s="30"/>
    </row>
    <row r="178">
      <c r="B178" s="30"/>
      <c r="C178" s="30"/>
    </row>
    <row r="179">
      <c r="B179" s="30"/>
      <c r="C179" s="30"/>
    </row>
    <row r="180">
      <c r="B180" s="30"/>
      <c r="C180" s="30"/>
    </row>
    <row r="181">
      <c r="B181" s="30"/>
      <c r="C181" s="30"/>
    </row>
    <row r="182">
      <c r="B182" s="30"/>
      <c r="C182" s="30"/>
    </row>
    <row r="183">
      <c r="B183" s="30"/>
      <c r="C183" s="30"/>
    </row>
    <row r="184">
      <c r="B184" s="30"/>
      <c r="C184" s="30"/>
    </row>
    <row r="185">
      <c r="B185" s="30"/>
      <c r="C185" s="30"/>
    </row>
    <row r="186">
      <c r="B186" s="30"/>
      <c r="C186" s="30"/>
    </row>
    <row r="187">
      <c r="B187" s="30"/>
      <c r="C187" s="30"/>
    </row>
    <row r="188">
      <c r="B188" s="30"/>
      <c r="C188" s="30"/>
    </row>
    <row r="189">
      <c r="B189" s="30"/>
      <c r="C189" s="30"/>
    </row>
    <row r="190">
      <c r="B190" s="30"/>
      <c r="C190" s="30"/>
    </row>
    <row r="191">
      <c r="B191" s="30"/>
      <c r="C191" s="30"/>
    </row>
    <row r="192">
      <c r="B192" s="30"/>
      <c r="C192" s="30"/>
    </row>
    <row r="193">
      <c r="B193" s="30"/>
      <c r="C193" s="30"/>
    </row>
    <row r="194">
      <c r="B194" s="30"/>
      <c r="C194" s="30"/>
    </row>
    <row r="195">
      <c r="B195" s="30"/>
      <c r="C195" s="30"/>
    </row>
    <row r="196">
      <c r="B196" s="30"/>
      <c r="C196" s="30"/>
    </row>
    <row r="197">
      <c r="B197" s="30"/>
      <c r="C197" s="30"/>
    </row>
    <row r="198">
      <c r="B198" s="30"/>
      <c r="C198" s="30"/>
    </row>
    <row r="199">
      <c r="B199" s="30"/>
      <c r="C199" s="30"/>
    </row>
    <row r="200">
      <c r="B200" s="30"/>
      <c r="C200" s="30"/>
    </row>
    <row r="201">
      <c r="B201" s="30"/>
      <c r="C201" s="30"/>
    </row>
    <row r="202">
      <c r="B202" s="30"/>
      <c r="C202" s="30"/>
    </row>
    <row r="203">
      <c r="B203" s="30"/>
      <c r="C203" s="30"/>
    </row>
    <row r="204">
      <c r="B204" s="30"/>
      <c r="C204" s="30"/>
    </row>
    <row r="205">
      <c r="B205" s="30"/>
      <c r="C205" s="30"/>
    </row>
    <row r="206">
      <c r="B206" s="30"/>
      <c r="C206" s="30"/>
    </row>
    <row r="207">
      <c r="B207" s="30"/>
      <c r="C207" s="30"/>
    </row>
    <row r="208">
      <c r="B208" s="30"/>
      <c r="C208" s="30"/>
    </row>
    <row r="209">
      <c r="B209" s="30"/>
      <c r="C209" s="30"/>
    </row>
    <row r="210">
      <c r="B210" s="30"/>
      <c r="C210" s="30"/>
    </row>
    <row r="211">
      <c r="B211" s="30"/>
      <c r="C211" s="30"/>
    </row>
    <row r="212">
      <c r="B212" s="30"/>
      <c r="C212" s="30"/>
    </row>
    <row r="213">
      <c r="B213" s="30"/>
      <c r="C213" s="30"/>
    </row>
    <row r="214">
      <c r="B214" s="30"/>
      <c r="C214" s="30"/>
    </row>
    <row r="215">
      <c r="B215" s="30"/>
      <c r="C215" s="30"/>
    </row>
    <row r="216">
      <c r="B216" s="30"/>
      <c r="C216" s="30"/>
    </row>
    <row r="217">
      <c r="B217" s="30"/>
      <c r="C217" s="30"/>
    </row>
    <row r="218">
      <c r="B218" s="30"/>
      <c r="C218" s="30"/>
    </row>
    <row r="219">
      <c r="B219" s="30"/>
      <c r="C219" s="30"/>
    </row>
    <row r="220">
      <c r="B220" s="30"/>
      <c r="C220" s="30"/>
    </row>
    <row r="221">
      <c r="B221" s="30"/>
      <c r="C221" s="30"/>
    </row>
    <row r="222">
      <c r="B222" s="30"/>
      <c r="C222" s="30"/>
    </row>
    <row r="223">
      <c r="B223" s="30"/>
      <c r="C223" s="30"/>
    </row>
    <row r="224">
      <c r="B224" s="30"/>
      <c r="C224" s="30"/>
    </row>
    <row r="225">
      <c r="B225" s="30"/>
      <c r="C225" s="30"/>
    </row>
    <row r="226">
      <c r="B226" s="30"/>
      <c r="C226" s="30"/>
    </row>
    <row r="227">
      <c r="B227" s="30"/>
      <c r="C227" s="30"/>
    </row>
    <row r="228">
      <c r="B228" s="30"/>
      <c r="C228" s="30"/>
    </row>
    <row r="229">
      <c r="B229" s="30"/>
      <c r="C229" s="30"/>
    </row>
    <row r="230">
      <c r="B230" s="30"/>
      <c r="C230" s="30"/>
    </row>
    <row r="231">
      <c r="B231" s="30"/>
      <c r="C231" s="30"/>
    </row>
    <row r="232">
      <c r="B232" s="30"/>
      <c r="C232" s="30"/>
    </row>
    <row r="233">
      <c r="B233" s="30"/>
      <c r="C233" s="30"/>
    </row>
    <row r="234">
      <c r="B234" s="30"/>
      <c r="C234" s="30"/>
    </row>
    <row r="235">
      <c r="B235" s="30"/>
      <c r="C235" s="30"/>
    </row>
    <row r="236">
      <c r="B236" s="30"/>
      <c r="C236" s="30"/>
    </row>
    <row r="237">
      <c r="B237" s="30"/>
      <c r="C237" s="30"/>
    </row>
    <row r="238">
      <c r="B238" s="30"/>
      <c r="C238" s="30"/>
    </row>
    <row r="239">
      <c r="B239" s="30"/>
      <c r="C239" s="30"/>
    </row>
    <row r="240">
      <c r="B240" s="30"/>
      <c r="C240" s="30"/>
    </row>
    <row r="241">
      <c r="B241" s="30"/>
      <c r="C241" s="30"/>
    </row>
    <row r="242">
      <c r="B242" s="30"/>
      <c r="C242" s="30"/>
    </row>
    <row r="243">
      <c r="B243" s="30"/>
      <c r="C243" s="30"/>
    </row>
    <row r="244">
      <c r="B244" s="30"/>
      <c r="C244" s="30"/>
    </row>
    <row r="245">
      <c r="B245" s="30"/>
      <c r="C245" s="30"/>
    </row>
    <row r="246">
      <c r="B246" s="30"/>
      <c r="C246" s="30"/>
    </row>
    <row r="247">
      <c r="B247" s="30"/>
      <c r="C247" s="30"/>
    </row>
    <row r="248">
      <c r="B248" s="30"/>
      <c r="C248" s="30"/>
    </row>
    <row r="249">
      <c r="B249" s="30"/>
      <c r="C249" s="30"/>
    </row>
    <row r="250">
      <c r="B250" s="30"/>
      <c r="C250" s="30"/>
    </row>
    <row r="251">
      <c r="B251" s="30"/>
      <c r="C251" s="30"/>
    </row>
    <row r="252">
      <c r="B252" s="30"/>
      <c r="C252" s="30"/>
    </row>
    <row r="253">
      <c r="B253" s="30"/>
      <c r="C253" s="30"/>
    </row>
    <row r="254">
      <c r="B254" s="30"/>
      <c r="C254" s="30"/>
    </row>
    <row r="255">
      <c r="B255" s="30"/>
      <c r="C255" s="30"/>
    </row>
    <row r="256">
      <c r="B256" s="30"/>
      <c r="C256" s="30"/>
    </row>
    <row r="257">
      <c r="B257" s="30"/>
      <c r="C257" s="30"/>
    </row>
    <row r="258">
      <c r="B258" s="30"/>
      <c r="C258" s="30"/>
    </row>
    <row r="259">
      <c r="B259" s="30"/>
      <c r="C259" s="30"/>
    </row>
    <row r="260">
      <c r="B260" s="30"/>
      <c r="C260" s="30"/>
    </row>
    <row r="261">
      <c r="B261" s="30"/>
      <c r="C261" s="30"/>
    </row>
    <row r="262">
      <c r="B262" s="30"/>
      <c r="C262" s="30"/>
    </row>
    <row r="263">
      <c r="B263" s="30"/>
      <c r="C263" s="30"/>
    </row>
    <row r="264">
      <c r="B264" s="30"/>
      <c r="C264" s="30"/>
    </row>
    <row r="265">
      <c r="B265" s="30"/>
      <c r="C265" s="30"/>
    </row>
    <row r="266">
      <c r="B266" s="30"/>
      <c r="C266" s="30"/>
    </row>
    <row r="267">
      <c r="B267" s="30"/>
      <c r="C267" s="30"/>
    </row>
    <row r="268">
      <c r="B268" s="30"/>
      <c r="C268" s="30"/>
    </row>
    <row r="269">
      <c r="B269" s="30"/>
      <c r="C269" s="30"/>
    </row>
    <row r="270">
      <c r="B270" s="30"/>
      <c r="C270" s="30"/>
    </row>
    <row r="271">
      <c r="B271" s="30"/>
      <c r="C271" s="30"/>
    </row>
    <row r="272">
      <c r="B272" s="30"/>
      <c r="C272" s="30"/>
    </row>
    <row r="273">
      <c r="B273" s="30"/>
      <c r="C273" s="30"/>
    </row>
    <row r="274">
      <c r="B274" s="30"/>
      <c r="C274" s="30"/>
    </row>
    <row r="275">
      <c r="B275" s="30"/>
      <c r="C275" s="30"/>
    </row>
    <row r="276">
      <c r="B276" s="30"/>
      <c r="C276" s="30"/>
    </row>
    <row r="277">
      <c r="B277" s="30"/>
      <c r="C277" s="30"/>
    </row>
    <row r="278">
      <c r="B278" s="30"/>
      <c r="C278" s="30"/>
    </row>
    <row r="279">
      <c r="B279" s="30"/>
      <c r="C279" s="30"/>
    </row>
    <row r="280">
      <c r="B280" s="30"/>
      <c r="C280" s="30"/>
    </row>
    <row r="281">
      <c r="B281" s="30"/>
      <c r="C281" s="30"/>
    </row>
    <row r="282">
      <c r="B282" s="30"/>
      <c r="C282" s="30"/>
    </row>
    <row r="283">
      <c r="B283" s="30"/>
      <c r="C283" s="30"/>
    </row>
    <row r="284">
      <c r="B284" s="30"/>
      <c r="C284" s="30"/>
    </row>
    <row r="285">
      <c r="B285" s="30"/>
      <c r="C285" s="30"/>
    </row>
    <row r="286">
      <c r="B286" s="30"/>
      <c r="C286" s="30"/>
    </row>
    <row r="287">
      <c r="B287" s="30"/>
      <c r="C287" s="30"/>
    </row>
    <row r="288">
      <c r="B288" s="30"/>
      <c r="C288" s="30"/>
    </row>
    <row r="289">
      <c r="B289" s="30"/>
      <c r="C289" s="30"/>
    </row>
    <row r="290">
      <c r="B290" s="30"/>
      <c r="C290" s="30"/>
    </row>
    <row r="291">
      <c r="B291" s="30"/>
      <c r="C291" s="30"/>
    </row>
    <row r="292">
      <c r="B292" s="30"/>
      <c r="C292" s="30"/>
    </row>
    <row r="293">
      <c r="B293" s="30"/>
      <c r="C293" s="30"/>
    </row>
    <row r="294">
      <c r="B294" s="30"/>
      <c r="C294" s="30"/>
    </row>
    <row r="295">
      <c r="B295" s="30"/>
      <c r="C295" s="30"/>
    </row>
    <row r="296">
      <c r="B296" s="30"/>
      <c r="C296" s="30"/>
    </row>
    <row r="297">
      <c r="B297" s="30"/>
      <c r="C297" s="30"/>
    </row>
    <row r="298">
      <c r="B298" s="30"/>
      <c r="C298" s="30"/>
    </row>
    <row r="299">
      <c r="B299" s="30"/>
      <c r="C299" s="30"/>
    </row>
    <row r="300">
      <c r="B300" s="30"/>
      <c r="C300" s="30"/>
    </row>
    <row r="301">
      <c r="B301" s="30"/>
      <c r="C301" s="30"/>
    </row>
    <row r="302">
      <c r="B302" s="30"/>
      <c r="C302" s="30"/>
    </row>
    <row r="303">
      <c r="B303" s="30"/>
      <c r="C303" s="30"/>
    </row>
    <row r="304">
      <c r="B304" s="30"/>
      <c r="C304" s="30"/>
    </row>
    <row r="305">
      <c r="B305" s="30"/>
      <c r="C305" s="30"/>
    </row>
    <row r="306">
      <c r="B306" s="30"/>
      <c r="C306" s="30"/>
    </row>
    <row r="307">
      <c r="B307" s="30"/>
      <c r="C307" s="30"/>
    </row>
    <row r="308">
      <c r="B308" s="30"/>
      <c r="C308" s="30"/>
    </row>
    <row r="309">
      <c r="B309" s="30"/>
      <c r="C309" s="30"/>
    </row>
    <row r="310">
      <c r="B310" s="30"/>
      <c r="C310" s="30"/>
    </row>
    <row r="311">
      <c r="B311" s="30"/>
      <c r="C311" s="30"/>
    </row>
    <row r="312">
      <c r="B312" s="30"/>
      <c r="C312" s="30"/>
    </row>
    <row r="313">
      <c r="B313" s="30"/>
      <c r="C313" s="30"/>
    </row>
    <row r="314">
      <c r="B314" s="30"/>
      <c r="C314" s="30"/>
    </row>
    <row r="315">
      <c r="B315" s="30"/>
      <c r="C315" s="30"/>
    </row>
    <row r="316">
      <c r="B316" s="30"/>
      <c r="C316" s="30"/>
    </row>
    <row r="317">
      <c r="B317" s="30"/>
      <c r="C317" s="30"/>
    </row>
    <row r="318">
      <c r="B318" s="30"/>
      <c r="C318" s="30"/>
    </row>
    <row r="319">
      <c r="B319" s="30"/>
      <c r="C319" s="30"/>
    </row>
    <row r="320">
      <c r="B320" s="30"/>
      <c r="C320" s="30"/>
    </row>
    <row r="321">
      <c r="B321" s="30"/>
      <c r="C321" s="30"/>
    </row>
    <row r="322">
      <c r="B322" s="30"/>
      <c r="C322" s="30"/>
    </row>
    <row r="323">
      <c r="B323" s="30"/>
      <c r="C323" s="30"/>
    </row>
    <row r="324">
      <c r="B324" s="30"/>
      <c r="C324" s="30"/>
    </row>
    <row r="325">
      <c r="B325" s="30"/>
      <c r="C325" s="30"/>
    </row>
    <row r="326">
      <c r="B326" s="30"/>
      <c r="C326" s="30"/>
    </row>
    <row r="327">
      <c r="B327" s="30"/>
      <c r="C327" s="30"/>
    </row>
    <row r="328">
      <c r="B328" s="30"/>
      <c r="C328" s="30"/>
    </row>
    <row r="329">
      <c r="B329" s="30"/>
      <c r="C329" s="30"/>
    </row>
    <row r="330">
      <c r="B330" s="30"/>
      <c r="C330" s="30"/>
    </row>
    <row r="331">
      <c r="B331" s="30"/>
      <c r="C331" s="30"/>
    </row>
    <row r="332">
      <c r="B332" s="30"/>
      <c r="C332" s="30"/>
    </row>
    <row r="333">
      <c r="B333" s="30"/>
      <c r="C333" s="30"/>
    </row>
    <row r="334">
      <c r="B334" s="30"/>
      <c r="C334" s="30"/>
    </row>
    <row r="335">
      <c r="B335" s="30"/>
      <c r="C335" s="30"/>
    </row>
    <row r="336">
      <c r="B336" s="30"/>
      <c r="C336" s="30"/>
    </row>
    <row r="337">
      <c r="B337" s="30"/>
      <c r="C337" s="30"/>
    </row>
    <row r="338">
      <c r="B338" s="30"/>
      <c r="C338" s="30"/>
    </row>
    <row r="339">
      <c r="B339" s="30"/>
      <c r="C339" s="30"/>
    </row>
    <row r="340">
      <c r="B340" s="30"/>
      <c r="C340" s="30"/>
    </row>
    <row r="341">
      <c r="B341" s="30"/>
      <c r="C341" s="30"/>
    </row>
    <row r="342">
      <c r="B342" s="30"/>
      <c r="C342" s="30"/>
    </row>
    <row r="343">
      <c r="B343" s="30"/>
      <c r="C343" s="30"/>
    </row>
    <row r="344">
      <c r="B344" s="30"/>
      <c r="C344" s="30"/>
    </row>
    <row r="345">
      <c r="B345" s="30"/>
      <c r="C345" s="30"/>
    </row>
    <row r="346">
      <c r="B346" s="30"/>
      <c r="C346" s="30"/>
    </row>
    <row r="347">
      <c r="B347" s="30"/>
      <c r="C347" s="30"/>
    </row>
    <row r="348">
      <c r="B348" s="30"/>
      <c r="C348" s="30"/>
    </row>
    <row r="349">
      <c r="B349" s="30"/>
      <c r="C349" s="30"/>
    </row>
    <row r="350">
      <c r="B350" s="30"/>
      <c r="C350" s="30"/>
    </row>
    <row r="351">
      <c r="B351" s="30"/>
      <c r="C351" s="30"/>
    </row>
    <row r="352">
      <c r="B352" s="30"/>
      <c r="C352" s="30"/>
    </row>
    <row r="353">
      <c r="B353" s="30"/>
      <c r="C353" s="30"/>
    </row>
    <row r="354">
      <c r="B354" s="30"/>
      <c r="C354" s="30"/>
    </row>
    <row r="355">
      <c r="B355" s="30"/>
      <c r="C355" s="30"/>
    </row>
    <row r="356">
      <c r="B356" s="30"/>
      <c r="C356" s="30"/>
    </row>
    <row r="357">
      <c r="B357" s="30"/>
      <c r="C357" s="30"/>
    </row>
    <row r="358">
      <c r="B358" s="30"/>
      <c r="C358" s="30"/>
    </row>
    <row r="359">
      <c r="B359" s="30"/>
      <c r="C359" s="30"/>
    </row>
    <row r="360">
      <c r="B360" s="30"/>
      <c r="C360" s="30"/>
    </row>
    <row r="361">
      <c r="B361" s="30"/>
      <c r="C361" s="30"/>
    </row>
    <row r="362">
      <c r="B362" s="30"/>
      <c r="C362" s="30"/>
    </row>
    <row r="363">
      <c r="B363" s="30"/>
      <c r="C363" s="30"/>
    </row>
    <row r="364">
      <c r="B364" s="30"/>
      <c r="C364" s="30"/>
    </row>
    <row r="365">
      <c r="B365" s="30"/>
      <c r="C365" s="30"/>
    </row>
    <row r="366">
      <c r="B366" s="30"/>
      <c r="C366" s="30"/>
    </row>
    <row r="367">
      <c r="B367" s="30"/>
      <c r="C367" s="30"/>
    </row>
    <row r="368">
      <c r="B368" s="30"/>
      <c r="C368" s="30"/>
    </row>
    <row r="369">
      <c r="B369" s="30"/>
      <c r="C369" s="30"/>
    </row>
    <row r="370">
      <c r="B370" s="30"/>
      <c r="C370" s="30"/>
    </row>
    <row r="371">
      <c r="B371" s="30"/>
      <c r="C371" s="30"/>
    </row>
    <row r="372">
      <c r="B372" s="30"/>
      <c r="C372" s="30"/>
    </row>
    <row r="373">
      <c r="B373" s="30"/>
      <c r="C373" s="30"/>
    </row>
    <row r="374">
      <c r="B374" s="30"/>
      <c r="C374" s="30"/>
    </row>
    <row r="375">
      <c r="B375" s="30"/>
      <c r="C375" s="30"/>
    </row>
    <row r="376">
      <c r="B376" s="30"/>
      <c r="C376" s="30"/>
    </row>
    <row r="377">
      <c r="B377" s="30"/>
      <c r="C377" s="30"/>
    </row>
    <row r="378">
      <c r="B378" s="30"/>
      <c r="C378" s="30"/>
    </row>
    <row r="379">
      <c r="B379" s="30"/>
      <c r="C379" s="30"/>
    </row>
    <row r="380">
      <c r="B380" s="30"/>
      <c r="C380" s="30"/>
    </row>
    <row r="381">
      <c r="B381" s="30"/>
      <c r="C381" s="30"/>
    </row>
    <row r="382">
      <c r="B382" s="30"/>
      <c r="C382" s="30"/>
    </row>
    <row r="383">
      <c r="B383" s="30"/>
      <c r="C383" s="30"/>
    </row>
    <row r="384">
      <c r="B384" s="30"/>
      <c r="C384" s="30"/>
    </row>
    <row r="385">
      <c r="B385" s="30"/>
      <c r="C385" s="30"/>
    </row>
    <row r="386">
      <c r="B386" s="30"/>
      <c r="C386" s="30"/>
    </row>
    <row r="387">
      <c r="B387" s="30"/>
      <c r="C387" s="30"/>
    </row>
    <row r="388">
      <c r="B388" s="30"/>
      <c r="C388" s="30"/>
    </row>
    <row r="389">
      <c r="B389" s="30"/>
      <c r="C389" s="30"/>
    </row>
    <row r="390">
      <c r="B390" s="30"/>
      <c r="C390" s="30"/>
    </row>
    <row r="391">
      <c r="B391" s="30"/>
      <c r="C391" s="30"/>
    </row>
    <row r="392">
      <c r="B392" s="30"/>
      <c r="C392" s="30"/>
    </row>
    <row r="393">
      <c r="B393" s="30"/>
      <c r="C393" s="30"/>
    </row>
    <row r="394">
      <c r="B394" s="30"/>
      <c r="C394" s="30"/>
    </row>
    <row r="395">
      <c r="B395" s="30"/>
      <c r="C395" s="30"/>
    </row>
    <row r="396">
      <c r="B396" s="30"/>
      <c r="C396" s="30"/>
    </row>
    <row r="397">
      <c r="B397" s="30"/>
      <c r="C397" s="30"/>
    </row>
    <row r="398">
      <c r="B398" s="30"/>
      <c r="C398" s="30"/>
    </row>
    <row r="399">
      <c r="B399" s="30"/>
      <c r="C399" s="30"/>
    </row>
    <row r="400">
      <c r="B400" s="30"/>
      <c r="C400" s="30"/>
    </row>
    <row r="401">
      <c r="B401" s="30"/>
      <c r="C401" s="30"/>
    </row>
    <row r="402">
      <c r="B402" s="30"/>
      <c r="C402" s="30"/>
    </row>
    <row r="403">
      <c r="B403" s="30"/>
      <c r="C403" s="30"/>
    </row>
    <row r="404">
      <c r="B404" s="30"/>
      <c r="C404" s="30"/>
    </row>
    <row r="405">
      <c r="B405" s="30"/>
      <c r="C405" s="30"/>
    </row>
    <row r="406">
      <c r="B406" s="30"/>
      <c r="C406" s="30"/>
    </row>
    <row r="407">
      <c r="B407" s="30"/>
      <c r="C407" s="30"/>
    </row>
    <row r="408">
      <c r="B408" s="30"/>
      <c r="C408" s="30"/>
    </row>
    <row r="409">
      <c r="B409" s="30"/>
      <c r="C409" s="30"/>
    </row>
    <row r="410">
      <c r="B410" s="30"/>
      <c r="C410" s="30"/>
    </row>
    <row r="411">
      <c r="B411" s="30"/>
      <c r="C411" s="30"/>
    </row>
    <row r="412">
      <c r="B412" s="30"/>
      <c r="C412" s="30"/>
    </row>
    <row r="413">
      <c r="B413" s="30"/>
      <c r="C413" s="30"/>
    </row>
    <row r="414">
      <c r="B414" s="30"/>
      <c r="C414" s="30"/>
    </row>
    <row r="415">
      <c r="B415" s="30"/>
      <c r="C415" s="30"/>
    </row>
    <row r="416">
      <c r="B416" s="30"/>
      <c r="C416" s="30"/>
    </row>
    <row r="417">
      <c r="B417" s="30"/>
      <c r="C417" s="30"/>
    </row>
    <row r="418">
      <c r="B418" s="30"/>
      <c r="C418" s="30"/>
    </row>
    <row r="419">
      <c r="B419" s="30"/>
      <c r="C419" s="30"/>
    </row>
    <row r="420">
      <c r="B420" s="30"/>
      <c r="C420" s="30"/>
    </row>
    <row r="421">
      <c r="B421" s="30"/>
      <c r="C421" s="30"/>
    </row>
    <row r="422">
      <c r="B422" s="30"/>
      <c r="C422" s="30"/>
    </row>
    <row r="423">
      <c r="B423" s="30"/>
      <c r="C423" s="30"/>
    </row>
    <row r="424">
      <c r="B424" s="30"/>
      <c r="C424" s="30"/>
    </row>
    <row r="425">
      <c r="B425" s="30"/>
      <c r="C425" s="30"/>
    </row>
    <row r="426">
      <c r="B426" s="30"/>
      <c r="C426" s="30"/>
    </row>
    <row r="427">
      <c r="B427" s="30"/>
      <c r="C427" s="30"/>
    </row>
    <row r="428">
      <c r="B428" s="30"/>
      <c r="C428" s="30"/>
    </row>
    <row r="429">
      <c r="B429" s="30"/>
      <c r="C429" s="30"/>
    </row>
    <row r="430">
      <c r="B430" s="30"/>
      <c r="C430" s="30"/>
    </row>
    <row r="431">
      <c r="B431" s="30"/>
      <c r="C431" s="30"/>
    </row>
    <row r="432">
      <c r="B432" s="30"/>
      <c r="C432" s="30"/>
    </row>
    <row r="433">
      <c r="B433" s="30"/>
      <c r="C433" s="30"/>
    </row>
    <row r="434">
      <c r="B434" s="30"/>
      <c r="C434" s="30"/>
    </row>
    <row r="435">
      <c r="B435" s="30"/>
      <c r="C435" s="30"/>
    </row>
    <row r="436">
      <c r="B436" s="30"/>
      <c r="C436" s="30"/>
    </row>
    <row r="437">
      <c r="B437" s="30"/>
      <c r="C437" s="30"/>
    </row>
    <row r="438">
      <c r="B438" s="30"/>
      <c r="C438" s="30"/>
    </row>
    <row r="439">
      <c r="B439" s="30"/>
      <c r="C439" s="30"/>
    </row>
    <row r="440">
      <c r="B440" s="30"/>
      <c r="C440" s="30"/>
    </row>
    <row r="441">
      <c r="B441" s="30"/>
      <c r="C441" s="30"/>
    </row>
    <row r="442">
      <c r="B442" s="30"/>
      <c r="C442" s="30"/>
    </row>
    <row r="443">
      <c r="B443" s="30"/>
      <c r="C443" s="30"/>
    </row>
    <row r="444">
      <c r="B444" s="30"/>
      <c r="C444" s="30"/>
    </row>
    <row r="445">
      <c r="B445" s="30"/>
      <c r="C445" s="30"/>
    </row>
    <row r="446">
      <c r="B446" s="30"/>
      <c r="C446" s="30"/>
    </row>
    <row r="447">
      <c r="B447" s="30"/>
      <c r="C447" s="30"/>
    </row>
    <row r="448">
      <c r="B448" s="30"/>
      <c r="C448" s="30"/>
    </row>
    <row r="449">
      <c r="B449" s="30"/>
      <c r="C449" s="30"/>
    </row>
    <row r="450">
      <c r="B450" s="30"/>
      <c r="C450" s="30"/>
    </row>
    <row r="451">
      <c r="B451" s="30"/>
      <c r="C451" s="30"/>
    </row>
    <row r="452">
      <c r="B452" s="30"/>
      <c r="C452" s="30"/>
    </row>
    <row r="453">
      <c r="B453" s="30"/>
      <c r="C453" s="30"/>
    </row>
    <row r="454">
      <c r="B454" s="30"/>
      <c r="C454" s="30"/>
    </row>
    <row r="455">
      <c r="B455" s="30"/>
      <c r="C455" s="30"/>
    </row>
    <row r="456">
      <c r="B456" s="30"/>
      <c r="C456" s="30"/>
    </row>
    <row r="457">
      <c r="B457" s="30"/>
      <c r="C457" s="30"/>
    </row>
    <row r="458">
      <c r="B458" s="30"/>
      <c r="C458" s="30"/>
    </row>
    <row r="459">
      <c r="B459" s="30"/>
      <c r="C459" s="30"/>
    </row>
    <row r="460">
      <c r="B460" s="30"/>
      <c r="C460" s="30"/>
    </row>
    <row r="461">
      <c r="B461" s="30"/>
      <c r="C461" s="30"/>
    </row>
    <row r="462">
      <c r="B462" s="30"/>
      <c r="C462" s="30"/>
    </row>
    <row r="463">
      <c r="B463" s="30"/>
      <c r="C463" s="30"/>
    </row>
    <row r="464">
      <c r="B464" s="30"/>
      <c r="C464" s="30"/>
    </row>
    <row r="465">
      <c r="B465" s="30"/>
      <c r="C465" s="30"/>
    </row>
    <row r="466">
      <c r="B466" s="30"/>
      <c r="C466" s="30"/>
    </row>
    <row r="467">
      <c r="B467" s="30"/>
      <c r="C467" s="30"/>
    </row>
    <row r="468">
      <c r="B468" s="30"/>
      <c r="C468" s="30"/>
    </row>
    <row r="469">
      <c r="B469" s="30"/>
      <c r="C469" s="30"/>
    </row>
    <row r="470">
      <c r="B470" s="30"/>
      <c r="C470" s="30"/>
    </row>
    <row r="471">
      <c r="B471" s="30"/>
      <c r="C471" s="30"/>
    </row>
    <row r="472">
      <c r="B472" s="30"/>
      <c r="C472" s="30"/>
    </row>
    <row r="473">
      <c r="B473" s="30"/>
      <c r="C473" s="30"/>
    </row>
    <row r="474">
      <c r="B474" s="30"/>
      <c r="C474" s="30"/>
    </row>
    <row r="475">
      <c r="B475" s="30"/>
      <c r="C475" s="30"/>
    </row>
    <row r="476">
      <c r="B476" s="30"/>
      <c r="C476" s="30"/>
    </row>
    <row r="477">
      <c r="B477" s="30"/>
      <c r="C477" s="30"/>
    </row>
    <row r="478">
      <c r="B478" s="30"/>
      <c r="C478" s="30"/>
    </row>
    <row r="479">
      <c r="B479" s="30"/>
      <c r="C479" s="30"/>
    </row>
    <row r="480">
      <c r="B480" s="30"/>
      <c r="C480" s="30"/>
    </row>
    <row r="481">
      <c r="B481" s="30"/>
      <c r="C481" s="30"/>
    </row>
    <row r="482">
      <c r="B482" s="30"/>
      <c r="C482" s="30"/>
    </row>
    <row r="483">
      <c r="B483" s="30"/>
      <c r="C483" s="30"/>
    </row>
    <row r="484">
      <c r="B484" s="30"/>
      <c r="C484" s="30"/>
    </row>
    <row r="485">
      <c r="B485" s="30"/>
      <c r="C485" s="30"/>
    </row>
    <row r="486">
      <c r="B486" s="30"/>
      <c r="C486" s="30"/>
    </row>
    <row r="487">
      <c r="B487" s="30"/>
      <c r="C487" s="30"/>
    </row>
    <row r="488">
      <c r="B488" s="30"/>
      <c r="C488" s="30"/>
    </row>
    <row r="489">
      <c r="B489" s="30"/>
      <c r="C489" s="30"/>
    </row>
    <row r="490">
      <c r="B490" s="30"/>
      <c r="C490" s="30"/>
    </row>
    <row r="491">
      <c r="B491" s="30"/>
      <c r="C491" s="30"/>
    </row>
    <row r="492">
      <c r="B492" s="30"/>
      <c r="C492" s="30"/>
    </row>
    <row r="493">
      <c r="B493" s="30"/>
      <c r="C493" s="30"/>
    </row>
    <row r="494">
      <c r="B494" s="30"/>
      <c r="C494" s="30"/>
    </row>
    <row r="495">
      <c r="B495" s="30"/>
      <c r="C495" s="30"/>
    </row>
    <row r="496">
      <c r="B496" s="30"/>
      <c r="C496" s="30"/>
    </row>
    <row r="497">
      <c r="B497" s="30"/>
      <c r="C497" s="30"/>
    </row>
    <row r="498">
      <c r="B498" s="30"/>
      <c r="C498" s="30"/>
    </row>
    <row r="499">
      <c r="B499" s="30"/>
      <c r="C499" s="30"/>
    </row>
    <row r="500">
      <c r="B500" s="30"/>
      <c r="C500" s="30"/>
    </row>
    <row r="501">
      <c r="B501" s="30"/>
      <c r="C501" s="30"/>
    </row>
    <row r="502">
      <c r="B502" s="30"/>
      <c r="C502" s="30"/>
    </row>
    <row r="503">
      <c r="B503" s="30"/>
      <c r="C503" s="30"/>
    </row>
    <row r="504">
      <c r="B504" s="30"/>
      <c r="C504" s="30"/>
    </row>
    <row r="505">
      <c r="B505" s="30"/>
      <c r="C505" s="30"/>
    </row>
    <row r="506">
      <c r="B506" s="30"/>
      <c r="C506" s="30"/>
    </row>
    <row r="507">
      <c r="B507" s="30"/>
      <c r="C507" s="30"/>
    </row>
    <row r="508">
      <c r="B508" s="30"/>
      <c r="C508" s="30"/>
    </row>
    <row r="509">
      <c r="B509" s="30"/>
      <c r="C509" s="30"/>
    </row>
    <row r="510">
      <c r="B510" s="30"/>
      <c r="C510" s="30"/>
    </row>
    <row r="511">
      <c r="B511" s="30"/>
      <c r="C511" s="30"/>
    </row>
    <row r="512">
      <c r="B512" s="30"/>
      <c r="C512" s="30"/>
    </row>
    <row r="513">
      <c r="B513" s="30"/>
      <c r="C513" s="30"/>
    </row>
    <row r="514">
      <c r="B514" s="30"/>
      <c r="C514" s="30"/>
    </row>
    <row r="515">
      <c r="B515" s="30"/>
      <c r="C515" s="30"/>
    </row>
    <row r="516">
      <c r="B516" s="30"/>
      <c r="C516" s="30"/>
    </row>
    <row r="517">
      <c r="B517" s="30"/>
      <c r="C517" s="30"/>
    </row>
    <row r="518">
      <c r="B518" s="30"/>
      <c r="C518" s="30"/>
    </row>
    <row r="519">
      <c r="B519" s="30"/>
      <c r="C519" s="30"/>
    </row>
    <row r="520">
      <c r="B520" s="30"/>
      <c r="C520" s="30"/>
    </row>
    <row r="521">
      <c r="B521" s="30"/>
      <c r="C521" s="30"/>
    </row>
    <row r="522">
      <c r="B522" s="30"/>
      <c r="C522" s="30"/>
    </row>
    <row r="523">
      <c r="B523" s="30"/>
      <c r="C523" s="30"/>
    </row>
    <row r="524">
      <c r="B524" s="30"/>
      <c r="C524" s="30"/>
    </row>
    <row r="525">
      <c r="B525" s="30"/>
      <c r="C525" s="30"/>
    </row>
    <row r="526">
      <c r="B526" s="30"/>
      <c r="C526" s="30"/>
    </row>
    <row r="527">
      <c r="B527" s="30"/>
      <c r="C527" s="30"/>
    </row>
    <row r="528">
      <c r="B528" s="30"/>
      <c r="C528" s="30"/>
    </row>
    <row r="529">
      <c r="B529" s="30"/>
      <c r="C529" s="30"/>
    </row>
    <row r="530">
      <c r="B530" s="30"/>
      <c r="C530" s="30"/>
    </row>
    <row r="531">
      <c r="B531" s="30"/>
      <c r="C531" s="30"/>
    </row>
    <row r="532">
      <c r="B532" s="30"/>
      <c r="C532" s="30"/>
    </row>
    <row r="533">
      <c r="B533" s="30"/>
      <c r="C533" s="30"/>
    </row>
    <row r="534">
      <c r="B534" s="30"/>
      <c r="C534" s="30"/>
    </row>
    <row r="535">
      <c r="B535" s="30"/>
      <c r="C535" s="30"/>
    </row>
    <row r="536">
      <c r="B536" s="30"/>
      <c r="C536" s="30"/>
    </row>
    <row r="537">
      <c r="B537" s="30"/>
      <c r="C537" s="30"/>
    </row>
    <row r="538">
      <c r="B538" s="30"/>
      <c r="C538" s="30"/>
    </row>
    <row r="539">
      <c r="B539" s="30"/>
      <c r="C539" s="30"/>
    </row>
    <row r="540">
      <c r="B540" s="30"/>
      <c r="C540" s="30"/>
    </row>
    <row r="541">
      <c r="B541" s="30"/>
      <c r="C541" s="30"/>
    </row>
    <row r="542">
      <c r="B542" s="30"/>
      <c r="C542" s="30"/>
    </row>
    <row r="543">
      <c r="B543" s="30"/>
      <c r="C543" s="30"/>
    </row>
    <row r="544">
      <c r="B544" s="30"/>
      <c r="C544" s="30"/>
    </row>
    <row r="545">
      <c r="B545" s="30"/>
      <c r="C545" s="30"/>
    </row>
    <row r="546">
      <c r="B546" s="30"/>
      <c r="C546" s="30"/>
    </row>
    <row r="547">
      <c r="B547" s="30"/>
      <c r="C547" s="30"/>
    </row>
    <row r="548">
      <c r="B548" s="30"/>
      <c r="C548" s="30"/>
    </row>
    <row r="549">
      <c r="B549" s="30"/>
      <c r="C549" s="30"/>
    </row>
    <row r="550">
      <c r="B550" s="30"/>
      <c r="C550" s="30"/>
    </row>
    <row r="551">
      <c r="B551" s="30"/>
      <c r="C551" s="30"/>
    </row>
    <row r="552">
      <c r="B552" s="30"/>
      <c r="C552" s="30"/>
    </row>
    <row r="553">
      <c r="B553" s="30"/>
      <c r="C553" s="30"/>
    </row>
    <row r="554">
      <c r="B554" s="30"/>
      <c r="C554" s="30"/>
    </row>
    <row r="555">
      <c r="B555" s="30"/>
      <c r="C555" s="30"/>
    </row>
    <row r="556">
      <c r="B556" s="30"/>
      <c r="C556" s="30"/>
    </row>
    <row r="557">
      <c r="B557" s="30"/>
      <c r="C557" s="30"/>
    </row>
    <row r="558">
      <c r="B558" s="30"/>
      <c r="C558" s="30"/>
    </row>
    <row r="559">
      <c r="B559" s="30"/>
      <c r="C559" s="30"/>
    </row>
    <row r="560">
      <c r="B560" s="30"/>
      <c r="C560" s="30"/>
    </row>
    <row r="561">
      <c r="B561" s="30"/>
      <c r="C561" s="30"/>
    </row>
    <row r="562">
      <c r="B562" s="30"/>
      <c r="C562" s="30"/>
    </row>
    <row r="563">
      <c r="B563" s="30"/>
      <c r="C563" s="30"/>
    </row>
    <row r="564">
      <c r="B564" s="30"/>
      <c r="C564" s="30"/>
    </row>
    <row r="565">
      <c r="B565" s="30"/>
      <c r="C565" s="30"/>
    </row>
    <row r="566">
      <c r="B566" s="30"/>
      <c r="C566" s="30"/>
    </row>
    <row r="567">
      <c r="B567" s="30"/>
      <c r="C567" s="30"/>
    </row>
    <row r="568">
      <c r="B568" s="30"/>
      <c r="C568" s="30"/>
    </row>
    <row r="569">
      <c r="B569" s="30"/>
      <c r="C569" s="30"/>
    </row>
    <row r="570">
      <c r="B570" s="30"/>
      <c r="C570" s="30"/>
    </row>
    <row r="571">
      <c r="B571" s="30"/>
      <c r="C571" s="30"/>
    </row>
    <row r="572">
      <c r="B572" s="30"/>
      <c r="C572" s="30"/>
    </row>
    <row r="573">
      <c r="B573" s="30"/>
      <c r="C573" s="30"/>
    </row>
    <row r="574">
      <c r="B574" s="30"/>
      <c r="C574" s="30"/>
    </row>
    <row r="575">
      <c r="B575" s="30"/>
      <c r="C575" s="30"/>
    </row>
    <row r="576">
      <c r="B576" s="30"/>
      <c r="C576" s="30"/>
    </row>
    <row r="577">
      <c r="B577" s="30"/>
      <c r="C577" s="30"/>
    </row>
    <row r="578">
      <c r="B578" s="30"/>
      <c r="C578" s="30"/>
    </row>
    <row r="579">
      <c r="B579" s="30"/>
      <c r="C579" s="30"/>
    </row>
    <row r="580">
      <c r="B580" s="30"/>
      <c r="C580" s="30"/>
    </row>
    <row r="581">
      <c r="B581" s="30"/>
      <c r="C581" s="30"/>
    </row>
    <row r="582">
      <c r="B582" s="30"/>
      <c r="C582" s="30"/>
    </row>
    <row r="583">
      <c r="B583" s="30"/>
      <c r="C583" s="30"/>
    </row>
    <row r="584">
      <c r="B584" s="30"/>
      <c r="C584" s="30"/>
    </row>
    <row r="585">
      <c r="B585" s="30"/>
      <c r="C585" s="30"/>
    </row>
    <row r="586">
      <c r="B586" s="30"/>
      <c r="C586" s="30"/>
    </row>
    <row r="587">
      <c r="B587" s="30"/>
      <c r="C587" s="30"/>
    </row>
    <row r="588">
      <c r="B588" s="30"/>
      <c r="C588" s="30"/>
    </row>
    <row r="589">
      <c r="B589" s="30"/>
      <c r="C589" s="30"/>
    </row>
    <row r="590">
      <c r="B590" s="30"/>
      <c r="C590" s="30"/>
    </row>
    <row r="591">
      <c r="B591" s="30"/>
      <c r="C591" s="30"/>
    </row>
    <row r="592">
      <c r="B592" s="30"/>
      <c r="C592" s="30"/>
    </row>
    <row r="593">
      <c r="B593" s="30"/>
      <c r="C593" s="30"/>
    </row>
    <row r="594">
      <c r="B594" s="30"/>
      <c r="C594" s="30"/>
    </row>
    <row r="595">
      <c r="B595" s="30"/>
      <c r="C595" s="30"/>
    </row>
    <row r="596">
      <c r="B596" s="30"/>
      <c r="C596" s="30"/>
    </row>
    <row r="597">
      <c r="B597" s="30"/>
      <c r="C597" s="30"/>
    </row>
    <row r="598">
      <c r="B598" s="30"/>
      <c r="C598" s="30"/>
    </row>
    <row r="599">
      <c r="B599" s="30"/>
      <c r="C599" s="30"/>
    </row>
    <row r="600">
      <c r="B600" s="30"/>
      <c r="C600" s="30"/>
    </row>
    <row r="601">
      <c r="B601" s="30"/>
      <c r="C601" s="30"/>
    </row>
    <row r="602">
      <c r="B602" s="30"/>
      <c r="C602" s="30"/>
    </row>
    <row r="603">
      <c r="B603" s="30"/>
      <c r="C603" s="30"/>
    </row>
    <row r="604">
      <c r="B604" s="30"/>
      <c r="C604" s="30"/>
    </row>
    <row r="605">
      <c r="B605" s="30"/>
      <c r="C605" s="30"/>
    </row>
    <row r="606">
      <c r="B606" s="30"/>
      <c r="C606" s="30"/>
    </row>
    <row r="607">
      <c r="B607" s="30"/>
      <c r="C607" s="30"/>
    </row>
    <row r="608">
      <c r="B608" s="30"/>
      <c r="C608" s="30"/>
    </row>
    <row r="609">
      <c r="B609" s="30"/>
      <c r="C609" s="30"/>
    </row>
    <row r="610">
      <c r="B610" s="30"/>
      <c r="C610" s="30"/>
    </row>
    <row r="611">
      <c r="B611" s="30"/>
      <c r="C611" s="30"/>
    </row>
    <row r="612">
      <c r="B612" s="30"/>
      <c r="C612" s="30"/>
    </row>
    <row r="613">
      <c r="B613" s="30"/>
      <c r="C613" s="30"/>
    </row>
    <row r="614">
      <c r="B614" s="30"/>
      <c r="C614" s="30"/>
    </row>
    <row r="615">
      <c r="B615" s="30"/>
      <c r="C615" s="30"/>
    </row>
    <row r="616">
      <c r="B616" s="30"/>
      <c r="C616" s="30"/>
    </row>
    <row r="617">
      <c r="B617" s="30"/>
      <c r="C617" s="30"/>
    </row>
    <row r="618">
      <c r="B618" s="30"/>
      <c r="C618" s="30"/>
    </row>
    <row r="619">
      <c r="B619" s="30"/>
      <c r="C619" s="30"/>
    </row>
    <row r="620">
      <c r="B620" s="30"/>
      <c r="C620" s="30"/>
    </row>
    <row r="621">
      <c r="B621" s="30"/>
      <c r="C621" s="30"/>
    </row>
    <row r="622">
      <c r="B622" s="30"/>
      <c r="C622" s="30"/>
    </row>
    <row r="623">
      <c r="B623" s="30"/>
      <c r="C623" s="30"/>
    </row>
    <row r="624">
      <c r="B624" s="30"/>
      <c r="C624" s="30"/>
    </row>
    <row r="625">
      <c r="B625" s="30"/>
      <c r="C625" s="30"/>
    </row>
    <row r="626">
      <c r="B626" s="30"/>
      <c r="C626" s="30"/>
    </row>
    <row r="627">
      <c r="B627" s="30"/>
      <c r="C627" s="30"/>
    </row>
    <row r="628">
      <c r="B628" s="30"/>
      <c r="C628" s="30"/>
    </row>
    <row r="629">
      <c r="B629" s="30"/>
      <c r="C629" s="30"/>
    </row>
    <row r="630">
      <c r="B630" s="30"/>
      <c r="C630" s="30"/>
    </row>
    <row r="631">
      <c r="B631" s="30"/>
      <c r="C631" s="30"/>
    </row>
    <row r="632">
      <c r="B632" s="30"/>
      <c r="C632" s="30"/>
    </row>
    <row r="633">
      <c r="B633" s="30"/>
      <c r="C633" s="30"/>
    </row>
    <row r="634">
      <c r="B634" s="30"/>
      <c r="C634" s="30"/>
    </row>
    <row r="635">
      <c r="B635" s="30"/>
      <c r="C635" s="30"/>
    </row>
    <row r="636">
      <c r="B636" s="30"/>
      <c r="C636" s="30"/>
    </row>
    <row r="637">
      <c r="B637" s="30"/>
      <c r="C637" s="30"/>
    </row>
    <row r="638">
      <c r="B638" s="30"/>
      <c r="C638" s="30"/>
    </row>
    <row r="639">
      <c r="B639" s="30"/>
      <c r="C639" s="30"/>
    </row>
    <row r="640">
      <c r="B640" s="30"/>
      <c r="C640" s="30"/>
    </row>
    <row r="641">
      <c r="B641" s="30"/>
      <c r="C641" s="30"/>
    </row>
    <row r="642">
      <c r="B642" s="30"/>
      <c r="C642" s="30"/>
    </row>
    <row r="643">
      <c r="B643" s="30"/>
      <c r="C643" s="30"/>
    </row>
    <row r="644">
      <c r="B644" s="30"/>
      <c r="C644" s="30"/>
    </row>
    <row r="645">
      <c r="B645" s="30"/>
      <c r="C645" s="30"/>
    </row>
    <row r="646">
      <c r="B646" s="30"/>
      <c r="C646" s="30"/>
    </row>
    <row r="647">
      <c r="B647" s="30"/>
      <c r="C647" s="30"/>
    </row>
    <row r="648">
      <c r="B648" s="30"/>
      <c r="C648" s="30"/>
    </row>
    <row r="649">
      <c r="B649" s="30"/>
      <c r="C649" s="30"/>
    </row>
    <row r="650">
      <c r="B650" s="30"/>
      <c r="C650" s="30"/>
    </row>
    <row r="651">
      <c r="B651" s="30"/>
      <c r="C651" s="30"/>
    </row>
    <row r="652">
      <c r="B652" s="30"/>
      <c r="C652" s="30"/>
    </row>
    <row r="653">
      <c r="B653" s="30"/>
      <c r="C653" s="30"/>
    </row>
    <row r="654">
      <c r="B654" s="30"/>
      <c r="C654" s="30"/>
    </row>
    <row r="655">
      <c r="B655" s="30"/>
      <c r="C655" s="30"/>
    </row>
    <row r="656">
      <c r="B656" s="30"/>
      <c r="C656" s="30"/>
    </row>
    <row r="657">
      <c r="B657" s="30"/>
      <c r="C657" s="30"/>
    </row>
    <row r="658">
      <c r="B658" s="30"/>
      <c r="C658" s="30"/>
    </row>
    <row r="659">
      <c r="B659" s="30"/>
      <c r="C659" s="30"/>
    </row>
    <row r="660">
      <c r="B660" s="30"/>
      <c r="C660" s="30"/>
    </row>
    <row r="661">
      <c r="B661" s="30"/>
      <c r="C661" s="30"/>
    </row>
    <row r="662">
      <c r="B662" s="30"/>
      <c r="C662" s="30"/>
    </row>
    <row r="663">
      <c r="B663" s="30"/>
      <c r="C663" s="30"/>
    </row>
    <row r="664">
      <c r="B664" s="30"/>
      <c r="C664" s="30"/>
    </row>
    <row r="665">
      <c r="B665" s="30"/>
      <c r="C665" s="30"/>
    </row>
    <row r="666">
      <c r="B666" s="30"/>
      <c r="C666" s="30"/>
    </row>
    <row r="667">
      <c r="B667" s="30"/>
      <c r="C667" s="30"/>
    </row>
    <row r="668">
      <c r="B668" s="30"/>
      <c r="C668" s="30"/>
    </row>
    <row r="669">
      <c r="B669" s="30"/>
      <c r="C669" s="30"/>
    </row>
    <row r="670">
      <c r="B670" s="30"/>
      <c r="C670" s="30"/>
    </row>
    <row r="671">
      <c r="B671" s="30"/>
      <c r="C671" s="30"/>
    </row>
    <row r="672">
      <c r="B672" s="30"/>
      <c r="C672" s="30"/>
    </row>
    <row r="673">
      <c r="B673" s="30"/>
      <c r="C673" s="30"/>
    </row>
    <row r="674">
      <c r="B674" s="30"/>
      <c r="C674" s="30"/>
    </row>
    <row r="675">
      <c r="B675" s="30"/>
      <c r="C675" s="30"/>
    </row>
    <row r="676">
      <c r="B676" s="30"/>
      <c r="C676" s="30"/>
    </row>
    <row r="677">
      <c r="B677" s="30"/>
      <c r="C677" s="30"/>
    </row>
    <row r="678">
      <c r="B678" s="30"/>
      <c r="C678" s="30"/>
    </row>
    <row r="679">
      <c r="B679" s="30"/>
      <c r="C679" s="30"/>
    </row>
    <row r="680">
      <c r="B680" s="30"/>
      <c r="C680" s="30"/>
    </row>
    <row r="681">
      <c r="B681" s="30"/>
      <c r="C681" s="30"/>
    </row>
    <row r="682">
      <c r="B682" s="30"/>
      <c r="C682" s="30"/>
    </row>
    <row r="683">
      <c r="B683" s="30"/>
      <c r="C683" s="30"/>
    </row>
    <row r="684">
      <c r="B684" s="30"/>
      <c r="C684" s="30"/>
    </row>
    <row r="685">
      <c r="B685" s="30"/>
      <c r="C685" s="30"/>
    </row>
    <row r="686">
      <c r="B686" s="30"/>
      <c r="C686" s="30"/>
    </row>
    <row r="687">
      <c r="B687" s="30"/>
      <c r="C687" s="30"/>
    </row>
    <row r="688">
      <c r="B688" s="30"/>
      <c r="C688" s="30"/>
    </row>
    <row r="689">
      <c r="B689" s="30"/>
      <c r="C689" s="30"/>
    </row>
    <row r="690">
      <c r="B690" s="30"/>
      <c r="C690" s="30"/>
    </row>
    <row r="691">
      <c r="B691" s="30"/>
      <c r="C691" s="30"/>
    </row>
    <row r="692">
      <c r="B692" s="30"/>
      <c r="C692" s="30"/>
    </row>
    <row r="693">
      <c r="B693" s="30"/>
      <c r="C693" s="30"/>
    </row>
    <row r="694">
      <c r="B694" s="30"/>
      <c r="C694" s="30"/>
    </row>
    <row r="695">
      <c r="B695" s="30"/>
      <c r="C695" s="30"/>
    </row>
    <row r="696">
      <c r="B696" s="30"/>
      <c r="C696" s="30"/>
    </row>
    <row r="697">
      <c r="B697" s="30"/>
      <c r="C697" s="30"/>
    </row>
    <row r="698">
      <c r="B698" s="30"/>
      <c r="C698" s="30"/>
    </row>
    <row r="699">
      <c r="B699" s="30"/>
      <c r="C699" s="30"/>
    </row>
    <row r="700">
      <c r="B700" s="30"/>
      <c r="C700" s="30"/>
    </row>
    <row r="701">
      <c r="B701" s="30"/>
      <c r="C701" s="30"/>
    </row>
    <row r="702">
      <c r="B702" s="30"/>
      <c r="C702" s="30"/>
    </row>
    <row r="703">
      <c r="B703" s="30"/>
      <c r="C703" s="30"/>
    </row>
    <row r="704">
      <c r="B704" s="30"/>
      <c r="C704" s="30"/>
    </row>
    <row r="705">
      <c r="B705" s="30"/>
      <c r="C705" s="30"/>
    </row>
    <row r="706">
      <c r="B706" s="30"/>
      <c r="C706" s="30"/>
    </row>
    <row r="707">
      <c r="B707" s="30"/>
      <c r="C707" s="30"/>
    </row>
    <row r="708">
      <c r="B708" s="30"/>
      <c r="C708" s="30"/>
    </row>
    <row r="709">
      <c r="B709" s="30"/>
      <c r="C709" s="30"/>
    </row>
    <row r="710">
      <c r="B710" s="30"/>
      <c r="C710" s="30"/>
    </row>
    <row r="711">
      <c r="B711" s="30"/>
      <c r="C711" s="30"/>
    </row>
    <row r="712">
      <c r="B712" s="30"/>
      <c r="C712" s="30"/>
    </row>
    <row r="713">
      <c r="B713" s="30"/>
      <c r="C713" s="30"/>
    </row>
    <row r="714">
      <c r="B714" s="30"/>
      <c r="C714" s="30"/>
    </row>
    <row r="715">
      <c r="B715" s="30"/>
      <c r="C715" s="30"/>
    </row>
    <row r="716">
      <c r="B716" s="30"/>
      <c r="C716" s="30"/>
    </row>
    <row r="717">
      <c r="B717" s="30"/>
      <c r="C717" s="30"/>
    </row>
    <row r="718">
      <c r="B718" s="30"/>
      <c r="C718" s="30"/>
    </row>
    <row r="719">
      <c r="B719" s="30"/>
      <c r="C719" s="30"/>
    </row>
    <row r="720">
      <c r="B720" s="30"/>
      <c r="C720" s="30"/>
    </row>
    <row r="721">
      <c r="B721" s="30"/>
      <c r="C721" s="30"/>
    </row>
    <row r="722">
      <c r="B722" s="30"/>
      <c r="C722" s="30"/>
    </row>
    <row r="723">
      <c r="B723" s="30"/>
      <c r="C723" s="30"/>
    </row>
    <row r="724">
      <c r="B724" s="30"/>
      <c r="C724" s="30"/>
    </row>
    <row r="725">
      <c r="B725" s="30"/>
      <c r="C725" s="30"/>
    </row>
    <row r="726">
      <c r="B726" s="30"/>
      <c r="C726" s="30"/>
    </row>
    <row r="727">
      <c r="B727" s="30"/>
      <c r="C727" s="30"/>
    </row>
    <row r="728">
      <c r="B728" s="30"/>
      <c r="C728" s="30"/>
    </row>
    <row r="729">
      <c r="B729" s="30"/>
      <c r="C729" s="30"/>
    </row>
    <row r="730">
      <c r="B730" s="30"/>
      <c r="C730" s="30"/>
    </row>
    <row r="731">
      <c r="B731" s="30"/>
      <c r="C731" s="30"/>
    </row>
    <row r="732">
      <c r="B732" s="30"/>
      <c r="C732" s="30"/>
    </row>
    <row r="733">
      <c r="B733" s="30"/>
      <c r="C733" s="30"/>
    </row>
    <row r="734">
      <c r="B734" s="30"/>
      <c r="C734" s="30"/>
    </row>
    <row r="735">
      <c r="B735" s="30"/>
      <c r="C735" s="30"/>
    </row>
    <row r="736">
      <c r="B736" s="30"/>
      <c r="C736" s="30"/>
    </row>
    <row r="737">
      <c r="B737" s="30"/>
      <c r="C737" s="30"/>
    </row>
    <row r="738">
      <c r="B738" s="30"/>
      <c r="C738" s="30"/>
    </row>
    <row r="739">
      <c r="B739" s="30"/>
      <c r="C739" s="30"/>
    </row>
    <row r="740">
      <c r="B740" s="30"/>
      <c r="C740" s="30"/>
    </row>
    <row r="741">
      <c r="B741" s="30"/>
      <c r="C741" s="30"/>
    </row>
    <row r="742">
      <c r="B742" s="30"/>
      <c r="C742" s="30"/>
    </row>
    <row r="743">
      <c r="B743" s="30"/>
      <c r="C743" s="30"/>
    </row>
    <row r="744">
      <c r="B744" s="30"/>
      <c r="C744" s="30"/>
    </row>
    <row r="745">
      <c r="B745" s="30"/>
      <c r="C745" s="30"/>
    </row>
    <row r="746">
      <c r="B746" s="30"/>
      <c r="C746" s="30"/>
    </row>
    <row r="747">
      <c r="B747" s="30"/>
      <c r="C747" s="30"/>
    </row>
    <row r="748">
      <c r="B748" s="30"/>
      <c r="C748" s="30"/>
    </row>
    <row r="749">
      <c r="B749" s="30"/>
      <c r="C749" s="30"/>
    </row>
    <row r="750">
      <c r="B750" s="30"/>
      <c r="C750" s="30"/>
    </row>
    <row r="751">
      <c r="B751" s="30"/>
      <c r="C751" s="30"/>
    </row>
    <row r="752">
      <c r="B752" s="30"/>
      <c r="C752" s="30"/>
    </row>
    <row r="753">
      <c r="B753" s="30"/>
      <c r="C753" s="30"/>
    </row>
    <row r="754">
      <c r="B754" s="30"/>
      <c r="C754" s="30"/>
    </row>
    <row r="755">
      <c r="B755" s="30"/>
      <c r="C755" s="30"/>
    </row>
    <row r="756">
      <c r="B756" s="30"/>
      <c r="C756" s="30"/>
    </row>
    <row r="757">
      <c r="B757" s="30"/>
      <c r="C757" s="30"/>
    </row>
    <row r="758">
      <c r="B758" s="30"/>
      <c r="C758" s="30"/>
    </row>
    <row r="759">
      <c r="B759" s="30"/>
      <c r="C759" s="30"/>
    </row>
    <row r="760">
      <c r="B760" s="30"/>
      <c r="C760" s="30"/>
    </row>
    <row r="761">
      <c r="B761" s="30"/>
      <c r="C761" s="30"/>
    </row>
    <row r="762">
      <c r="B762" s="30"/>
      <c r="C762" s="30"/>
    </row>
    <row r="763">
      <c r="B763" s="30"/>
      <c r="C763" s="30"/>
    </row>
    <row r="764">
      <c r="B764" s="30"/>
      <c r="C764" s="30"/>
    </row>
    <row r="765">
      <c r="B765" s="30"/>
      <c r="C765" s="30"/>
    </row>
    <row r="766">
      <c r="B766" s="30"/>
      <c r="C766" s="30"/>
    </row>
    <row r="767">
      <c r="B767" s="30"/>
      <c r="C767" s="30"/>
    </row>
    <row r="768">
      <c r="B768" s="30"/>
      <c r="C768" s="30"/>
    </row>
    <row r="769">
      <c r="B769" s="30"/>
      <c r="C769" s="30"/>
    </row>
    <row r="770">
      <c r="B770" s="30"/>
      <c r="C770" s="30"/>
    </row>
    <row r="771">
      <c r="B771" s="30"/>
      <c r="C771" s="30"/>
    </row>
    <row r="772">
      <c r="B772" s="30"/>
      <c r="C772" s="30"/>
    </row>
    <row r="773">
      <c r="B773" s="30"/>
      <c r="C773" s="30"/>
    </row>
    <row r="774">
      <c r="B774" s="30"/>
      <c r="C774" s="30"/>
    </row>
    <row r="775">
      <c r="B775" s="30"/>
      <c r="C775" s="30"/>
    </row>
    <row r="776">
      <c r="B776" s="30"/>
      <c r="C776" s="30"/>
    </row>
    <row r="777">
      <c r="B777" s="30"/>
      <c r="C777" s="30"/>
    </row>
    <row r="778">
      <c r="B778" s="30"/>
      <c r="C778" s="30"/>
    </row>
    <row r="779">
      <c r="B779" s="30"/>
      <c r="C779" s="30"/>
    </row>
    <row r="780">
      <c r="B780" s="30"/>
      <c r="C780" s="30"/>
    </row>
    <row r="781">
      <c r="B781" s="30"/>
      <c r="C781" s="30"/>
    </row>
    <row r="782">
      <c r="B782" s="30"/>
      <c r="C782" s="30"/>
    </row>
    <row r="783">
      <c r="B783" s="30"/>
      <c r="C783" s="30"/>
    </row>
    <row r="784">
      <c r="B784" s="30"/>
      <c r="C784" s="30"/>
    </row>
    <row r="785">
      <c r="B785" s="30"/>
      <c r="C785" s="30"/>
    </row>
    <row r="786">
      <c r="B786" s="30"/>
      <c r="C786" s="30"/>
    </row>
    <row r="787">
      <c r="B787" s="30"/>
      <c r="C787" s="30"/>
    </row>
    <row r="788">
      <c r="B788" s="30"/>
      <c r="C788" s="30"/>
    </row>
    <row r="789">
      <c r="B789" s="30"/>
      <c r="C789" s="30"/>
    </row>
    <row r="790">
      <c r="B790" s="30"/>
      <c r="C790" s="30"/>
    </row>
    <row r="791">
      <c r="B791" s="30"/>
      <c r="C791" s="30"/>
    </row>
    <row r="792">
      <c r="B792" s="30"/>
      <c r="C792" s="30"/>
    </row>
    <row r="793">
      <c r="B793" s="30"/>
      <c r="C793" s="30"/>
    </row>
    <row r="794">
      <c r="B794" s="30"/>
      <c r="C794" s="30"/>
    </row>
    <row r="795">
      <c r="B795" s="30"/>
      <c r="C795" s="30"/>
    </row>
    <row r="796">
      <c r="B796" s="30"/>
      <c r="C796" s="30"/>
    </row>
    <row r="797">
      <c r="B797" s="30"/>
      <c r="C797" s="30"/>
    </row>
    <row r="798">
      <c r="B798" s="30"/>
      <c r="C798" s="30"/>
    </row>
    <row r="799">
      <c r="B799" s="30"/>
      <c r="C799" s="30"/>
    </row>
    <row r="800">
      <c r="B800" s="30"/>
      <c r="C800" s="30"/>
    </row>
    <row r="801">
      <c r="B801" s="30"/>
      <c r="C801" s="30"/>
    </row>
    <row r="802">
      <c r="B802" s="30"/>
      <c r="C802" s="30"/>
    </row>
    <row r="803">
      <c r="B803" s="30"/>
      <c r="C803" s="30"/>
    </row>
    <row r="804">
      <c r="B804" s="30"/>
      <c r="C804" s="30"/>
    </row>
    <row r="805">
      <c r="B805" s="30"/>
      <c r="C805" s="30"/>
    </row>
    <row r="806">
      <c r="B806" s="30"/>
      <c r="C806" s="30"/>
    </row>
    <row r="807">
      <c r="B807" s="30"/>
      <c r="C807" s="30"/>
    </row>
    <row r="808">
      <c r="B808" s="30"/>
      <c r="C808" s="30"/>
    </row>
    <row r="809">
      <c r="B809" s="30"/>
      <c r="C809" s="30"/>
    </row>
    <row r="810">
      <c r="B810" s="30"/>
      <c r="C810" s="30"/>
    </row>
    <row r="811">
      <c r="B811" s="30"/>
      <c r="C811" s="30"/>
    </row>
    <row r="812">
      <c r="B812" s="30"/>
      <c r="C812" s="30"/>
    </row>
    <row r="813">
      <c r="B813" s="30"/>
      <c r="C813" s="30"/>
    </row>
    <row r="814">
      <c r="B814" s="30"/>
      <c r="C814" s="30"/>
    </row>
    <row r="815">
      <c r="B815" s="30"/>
      <c r="C815" s="30"/>
    </row>
    <row r="816">
      <c r="B816" s="30"/>
      <c r="C816" s="30"/>
    </row>
    <row r="817">
      <c r="B817" s="30"/>
      <c r="C817" s="30"/>
    </row>
    <row r="818">
      <c r="B818" s="30"/>
      <c r="C818" s="30"/>
    </row>
    <row r="819">
      <c r="B819" s="30"/>
      <c r="C819" s="30"/>
    </row>
    <row r="820">
      <c r="B820" s="30"/>
      <c r="C820" s="30"/>
    </row>
    <row r="821">
      <c r="B821" s="30"/>
      <c r="C821" s="30"/>
    </row>
    <row r="822">
      <c r="B822" s="30"/>
      <c r="C822" s="30"/>
    </row>
    <row r="823">
      <c r="B823" s="30"/>
      <c r="C823" s="30"/>
    </row>
    <row r="824">
      <c r="B824" s="30"/>
      <c r="C824" s="30"/>
    </row>
    <row r="825">
      <c r="B825" s="30"/>
      <c r="C825" s="30"/>
    </row>
    <row r="826">
      <c r="B826" s="30"/>
      <c r="C826" s="30"/>
    </row>
    <row r="827">
      <c r="B827" s="30"/>
      <c r="C827" s="30"/>
    </row>
    <row r="828">
      <c r="B828" s="30"/>
      <c r="C828" s="30"/>
    </row>
    <row r="829">
      <c r="B829" s="30"/>
      <c r="C829" s="30"/>
    </row>
    <row r="830">
      <c r="B830" s="30"/>
      <c r="C830" s="30"/>
    </row>
    <row r="831">
      <c r="B831" s="30"/>
      <c r="C831" s="30"/>
    </row>
    <row r="832">
      <c r="B832" s="30"/>
      <c r="C832" s="30"/>
    </row>
    <row r="833">
      <c r="B833" s="30"/>
      <c r="C833" s="30"/>
    </row>
    <row r="834">
      <c r="B834" s="30"/>
      <c r="C834" s="30"/>
    </row>
    <row r="835">
      <c r="B835" s="30"/>
      <c r="C835" s="30"/>
    </row>
    <row r="836">
      <c r="B836" s="30"/>
      <c r="C836" s="30"/>
    </row>
    <row r="837">
      <c r="B837" s="30"/>
      <c r="C837" s="30"/>
    </row>
    <row r="838">
      <c r="B838" s="30"/>
      <c r="C838" s="30"/>
    </row>
    <row r="839">
      <c r="B839" s="30"/>
      <c r="C839" s="30"/>
    </row>
    <row r="840">
      <c r="B840" s="30"/>
      <c r="C840" s="30"/>
    </row>
    <row r="841">
      <c r="B841" s="30"/>
      <c r="C841" s="30"/>
    </row>
    <row r="842">
      <c r="B842" s="30"/>
      <c r="C842" s="30"/>
    </row>
    <row r="843">
      <c r="B843" s="30"/>
      <c r="C843" s="30"/>
    </row>
    <row r="844">
      <c r="B844" s="30"/>
      <c r="C844" s="30"/>
    </row>
    <row r="845">
      <c r="B845" s="30"/>
      <c r="C845" s="30"/>
    </row>
    <row r="846">
      <c r="B846" s="30"/>
      <c r="C846" s="30"/>
    </row>
    <row r="847">
      <c r="B847" s="30"/>
      <c r="C847" s="30"/>
    </row>
    <row r="848">
      <c r="B848" s="30"/>
      <c r="C848" s="30"/>
    </row>
    <row r="849">
      <c r="B849" s="30"/>
      <c r="C849" s="30"/>
    </row>
    <row r="850">
      <c r="B850" s="30"/>
      <c r="C850" s="30"/>
    </row>
    <row r="851">
      <c r="B851" s="30"/>
      <c r="C851" s="30"/>
    </row>
    <row r="852">
      <c r="B852" s="30"/>
      <c r="C852" s="30"/>
    </row>
    <row r="853">
      <c r="B853" s="30"/>
      <c r="C853" s="30"/>
    </row>
    <row r="854">
      <c r="B854" s="30"/>
      <c r="C854" s="30"/>
    </row>
    <row r="855">
      <c r="B855" s="30"/>
      <c r="C855" s="30"/>
    </row>
    <row r="856">
      <c r="B856" s="30"/>
      <c r="C856" s="30"/>
    </row>
    <row r="857">
      <c r="B857" s="30"/>
      <c r="C857" s="30"/>
    </row>
    <row r="858">
      <c r="B858" s="30"/>
      <c r="C858" s="30"/>
    </row>
    <row r="859">
      <c r="B859" s="30"/>
      <c r="C859" s="30"/>
    </row>
    <row r="860">
      <c r="B860" s="30"/>
      <c r="C860" s="30"/>
    </row>
    <row r="861">
      <c r="B861" s="30"/>
      <c r="C861" s="30"/>
    </row>
    <row r="862">
      <c r="B862" s="30"/>
      <c r="C862" s="30"/>
    </row>
    <row r="863">
      <c r="B863" s="30"/>
      <c r="C863" s="30"/>
    </row>
    <row r="864">
      <c r="B864" s="30"/>
      <c r="C864" s="30"/>
    </row>
    <row r="865">
      <c r="B865" s="30"/>
      <c r="C865" s="30"/>
    </row>
    <row r="866">
      <c r="B866" s="30"/>
      <c r="C866" s="30"/>
    </row>
    <row r="867">
      <c r="B867" s="30"/>
      <c r="C867" s="30"/>
    </row>
    <row r="868">
      <c r="B868" s="30"/>
      <c r="C868" s="30"/>
    </row>
    <row r="869">
      <c r="B869" s="30"/>
      <c r="C869" s="30"/>
    </row>
    <row r="870">
      <c r="B870" s="30"/>
      <c r="C870" s="30"/>
    </row>
    <row r="871">
      <c r="B871" s="30"/>
      <c r="C871" s="30"/>
    </row>
    <row r="872">
      <c r="B872" s="30"/>
      <c r="C872" s="30"/>
    </row>
    <row r="873">
      <c r="B873" s="30"/>
      <c r="C873" s="30"/>
    </row>
    <row r="874">
      <c r="B874" s="30"/>
      <c r="C874" s="30"/>
    </row>
    <row r="875">
      <c r="B875" s="30"/>
      <c r="C875" s="30"/>
    </row>
    <row r="876">
      <c r="B876" s="30"/>
      <c r="C876" s="30"/>
    </row>
    <row r="877">
      <c r="B877" s="30"/>
      <c r="C877" s="30"/>
    </row>
    <row r="878">
      <c r="B878" s="30"/>
      <c r="C878" s="30"/>
    </row>
    <row r="879">
      <c r="B879" s="30"/>
      <c r="C879" s="30"/>
    </row>
    <row r="880">
      <c r="B880" s="30"/>
      <c r="C880" s="30"/>
    </row>
    <row r="881">
      <c r="B881" s="30"/>
      <c r="C881" s="30"/>
    </row>
    <row r="882">
      <c r="B882" s="30"/>
      <c r="C882" s="30"/>
    </row>
    <row r="883">
      <c r="B883" s="30"/>
      <c r="C883" s="30"/>
    </row>
    <row r="884">
      <c r="B884" s="30"/>
      <c r="C884" s="30"/>
    </row>
    <row r="885">
      <c r="B885" s="30"/>
      <c r="C885" s="30"/>
    </row>
    <row r="886">
      <c r="B886" s="30"/>
      <c r="C886" s="30"/>
    </row>
    <row r="887">
      <c r="B887" s="30"/>
      <c r="C887" s="30"/>
    </row>
    <row r="888">
      <c r="B888" s="30"/>
      <c r="C888" s="30"/>
    </row>
    <row r="889">
      <c r="B889" s="30"/>
      <c r="C889" s="30"/>
    </row>
    <row r="890">
      <c r="B890" s="30"/>
      <c r="C890" s="30"/>
    </row>
    <row r="891">
      <c r="B891" s="30"/>
      <c r="C891" s="30"/>
    </row>
    <row r="892">
      <c r="B892" s="30"/>
      <c r="C892" s="30"/>
    </row>
    <row r="893">
      <c r="B893" s="30"/>
      <c r="C893" s="30"/>
    </row>
    <row r="894">
      <c r="B894" s="30"/>
      <c r="C894" s="30"/>
    </row>
    <row r="895">
      <c r="B895" s="30"/>
      <c r="C895" s="30"/>
    </row>
    <row r="896">
      <c r="B896" s="30"/>
      <c r="C896" s="30"/>
    </row>
    <row r="897">
      <c r="B897" s="30"/>
      <c r="C897" s="30"/>
    </row>
    <row r="898">
      <c r="B898" s="30"/>
      <c r="C898" s="30"/>
    </row>
    <row r="899">
      <c r="B899" s="30"/>
      <c r="C899" s="30"/>
    </row>
    <row r="900">
      <c r="B900" s="30"/>
      <c r="C900" s="30"/>
    </row>
    <row r="901">
      <c r="B901" s="30"/>
      <c r="C901" s="30"/>
    </row>
    <row r="902">
      <c r="B902" s="30"/>
      <c r="C902" s="30"/>
    </row>
    <row r="903">
      <c r="B903" s="30"/>
      <c r="C903" s="30"/>
    </row>
    <row r="904">
      <c r="B904" s="30"/>
      <c r="C904" s="30"/>
    </row>
    <row r="905">
      <c r="B905" s="30"/>
      <c r="C905" s="30"/>
    </row>
    <row r="906">
      <c r="B906" s="30"/>
      <c r="C906" s="30"/>
    </row>
    <row r="907">
      <c r="B907" s="30"/>
      <c r="C907" s="30"/>
    </row>
    <row r="908">
      <c r="B908" s="30"/>
      <c r="C908" s="30"/>
    </row>
    <row r="909">
      <c r="B909" s="30"/>
      <c r="C909" s="30"/>
    </row>
    <row r="910">
      <c r="B910" s="30"/>
      <c r="C910" s="30"/>
    </row>
    <row r="911">
      <c r="B911" s="30"/>
      <c r="C911" s="30"/>
    </row>
    <row r="912">
      <c r="B912" s="30"/>
      <c r="C912" s="30"/>
    </row>
    <row r="913">
      <c r="B913" s="30"/>
      <c r="C913" s="30"/>
    </row>
    <row r="914">
      <c r="B914" s="30"/>
      <c r="C914" s="30"/>
    </row>
    <row r="915">
      <c r="B915" s="30"/>
      <c r="C915" s="30"/>
    </row>
    <row r="916">
      <c r="B916" s="30"/>
      <c r="C916" s="30"/>
    </row>
    <row r="917">
      <c r="B917" s="30"/>
      <c r="C917" s="30"/>
    </row>
    <row r="918">
      <c r="B918" s="30"/>
      <c r="C918" s="30"/>
    </row>
    <row r="919">
      <c r="B919" s="30"/>
      <c r="C919" s="30"/>
    </row>
    <row r="920">
      <c r="B920" s="30"/>
      <c r="C920" s="30"/>
    </row>
    <row r="921">
      <c r="B921" s="30"/>
      <c r="C921" s="30"/>
    </row>
    <row r="922">
      <c r="B922" s="30"/>
      <c r="C922" s="30"/>
    </row>
    <row r="923">
      <c r="B923" s="30"/>
      <c r="C923" s="30"/>
    </row>
    <row r="924">
      <c r="B924" s="30"/>
      <c r="C924" s="30"/>
    </row>
    <row r="925">
      <c r="B925" s="30"/>
      <c r="C925" s="30"/>
    </row>
    <row r="926">
      <c r="B926" s="30"/>
      <c r="C926" s="30"/>
    </row>
    <row r="927">
      <c r="B927" s="30"/>
      <c r="C927" s="30"/>
    </row>
    <row r="928">
      <c r="B928" s="30"/>
      <c r="C928" s="30"/>
    </row>
    <row r="929">
      <c r="B929" s="30"/>
      <c r="C929" s="30"/>
    </row>
    <row r="930">
      <c r="B930" s="30"/>
      <c r="C930" s="30"/>
    </row>
    <row r="931">
      <c r="B931" s="30"/>
      <c r="C931" s="30"/>
    </row>
    <row r="932">
      <c r="B932" s="30"/>
      <c r="C932" s="30"/>
    </row>
    <row r="933">
      <c r="B933" s="30"/>
      <c r="C933" s="30"/>
    </row>
    <row r="934">
      <c r="B934" s="30"/>
      <c r="C934" s="30"/>
    </row>
    <row r="935">
      <c r="B935" s="30"/>
      <c r="C935" s="30"/>
    </row>
    <row r="936">
      <c r="B936" s="30"/>
      <c r="C936" s="30"/>
    </row>
    <row r="937">
      <c r="B937" s="30"/>
      <c r="C937" s="30"/>
    </row>
    <row r="938">
      <c r="B938" s="30"/>
      <c r="C938" s="30"/>
    </row>
    <row r="939">
      <c r="B939" s="30"/>
      <c r="C939" s="30"/>
    </row>
    <row r="940">
      <c r="B940" s="30"/>
      <c r="C940" s="30"/>
    </row>
    <row r="941">
      <c r="B941" s="30"/>
      <c r="C941" s="30"/>
    </row>
    <row r="942">
      <c r="B942" s="30"/>
      <c r="C942" s="30"/>
    </row>
    <row r="943">
      <c r="B943" s="30"/>
      <c r="C943" s="30"/>
    </row>
    <row r="944">
      <c r="B944" s="30"/>
      <c r="C944" s="30"/>
    </row>
    <row r="945">
      <c r="B945" s="30"/>
      <c r="C945" s="30"/>
    </row>
    <row r="946">
      <c r="B946" s="30"/>
      <c r="C946" s="30"/>
    </row>
    <row r="947">
      <c r="B947" s="30"/>
      <c r="C947" s="30"/>
    </row>
    <row r="948">
      <c r="B948" s="30"/>
      <c r="C948" s="30"/>
    </row>
    <row r="949">
      <c r="B949" s="30"/>
      <c r="C949" s="30"/>
    </row>
    <row r="950">
      <c r="B950" s="30"/>
      <c r="C950" s="30"/>
    </row>
    <row r="951">
      <c r="B951" s="30"/>
      <c r="C951" s="30"/>
    </row>
    <row r="952">
      <c r="B952" s="30"/>
      <c r="C952" s="30"/>
    </row>
    <row r="953">
      <c r="B953" s="30"/>
      <c r="C953" s="30"/>
    </row>
    <row r="954">
      <c r="B954" s="30"/>
      <c r="C954" s="30"/>
    </row>
    <row r="955">
      <c r="B955" s="30"/>
      <c r="C955" s="30"/>
    </row>
    <row r="956">
      <c r="B956" s="30"/>
      <c r="C956" s="30"/>
    </row>
    <row r="957">
      <c r="B957" s="30"/>
      <c r="C957" s="30"/>
    </row>
    <row r="958">
      <c r="B958" s="30"/>
      <c r="C958" s="30"/>
    </row>
    <row r="959">
      <c r="B959" s="30"/>
      <c r="C959" s="30"/>
    </row>
    <row r="960">
      <c r="B960" s="30"/>
      <c r="C960" s="30"/>
    </row>
    <row r="961">
      <c r="B961" s="30"/>
      <c r="C961" s="30"/>
    </row>
    <row r="962">
      <c r="B962" s="30"/>
      <c r="C962" s="30"/>
    </row>
    <row r="963">
      <c r="B963" s="30"/>
      <c r="C963" s="30"/>
    </row>
    <row r="964">
      <c r="B964" s="30"/>
      <c r="C964" s="30"/>
    </row>
    <row r="965">
      <c r="B965" s="30"/>
      <c r="C965" s="30"/>
    </row>
    <row r="966">
      <c r="B966" s="30"/>
      <c r="C966" s="30"/>
    </row>
    <row r="967">
      <c r="B967" s="30"/>
      <c r="C967" s="30"/>
    </row>
    <row r="968">
      <c r="B968" s="30"/>
      <c r="C968" s="30"/>
    </row>
    <row r="969">
      <c r="B969" s="30"/>
      <c r="C969" s="30"/>
    </row>
    <row r="970">
      <c r="B970" s="30"/>
      <c r="C970" s="30"/>
    </row>
    <row r="971">
      <c r="B971" s="30"/>
      <c r="C971" s="30"/>
    </row>
    <row r="972">
      <c r="B972" s="30"/>
      <c r="C972" s="30"/>
    </row>
    <row r="973">
      <c r="B973" s="30"/>
      <c r="C973" s="30"/>
    </row>
    <row r="974">
      <c r="B974" s="30"/>
      <c r="C974" s="30"/>
    </row>
    <row r="975">
      <c r="B975" s="30"/>
      <c r="C975" s="30"/>
    </row>
    <row r="976">
      <c r="B976" s="30"/>
      <c r="C976" s="30"/>
    </row>
    <row r="977">
      <c r="B977" s="30"/>
      <c r="C977" s="30"/>
    </row>
    <row r="978">
      <c r="B978" s="30"/>
      <c r="C978" s="30"/>
    </row>
    <row r="979">
      <c r="B979" s="30"/>
      <c r="C979" s="30"/>
    </row>
    <row r="980">
      <c r="B980" s="30"/>
      <c r="C980" s="30"/>
    </row>
    <row r="981">
      <c r="B981" s="30"/>
      <c r="C981" s="30"/>
    </row>
    <row r="982">
      <c r="B982" s="30"/>
      <c r="C982" s="30"/>
    </row>
    <row r="983">
      <c r="B983" s="30"/>
      <c r="C983" s="30"/>
    </row>
    <row r="984">
      <c r="B984" s="30"/>
      <c r="C984" s="30"/>
    </row>
    <row r="985">
      <c r="B985" s="30"/>
      <c r="C985" s="30"/>
    </row>
    <row r="986">
      <c r="B986" s="30"/>
      <c r="C986" s="30"/>
    </row>
    <row r="987">
      <c r="B987" s="30"/>
      <c r="C987" s="30"/>
    </row>
    <row r="988">
      <c r="B988" s="30"/>
      <c r="C988" s="30"/>
    </row>
    <row r="989">
      <c r="B989" s="30"/>
      <c r="C989" s="30"/>
    </row>
    <row r="990">
      <c r="B990" s="30"/>
      <c r="C990" s="30"/>
    </row>
    <row r="991">
      <c r="B991" s="30"/>
      <c r="C991" s="30"/>
    </row>
    <row r="992">
      <c r="B992" s="30"/>
      <c r="C992" s="30"/>
    </row>
    <row r="993">
      <c r="B993" s="30"/>
      <c r="C993" s="30"/>
    </row>
    <row r="994">
      <c r="B994" s="30"/>
      <c r="C994" s="30"/>
    </row>
    <row r="995">
      <c r="B995" s="30"/>
      <c r="C995" s="30"/>
    </row>
    <row r="996">
      <c r="B996" s="30"/>
      <c r="C996" s="30"/>
    </row>
    <row r="997">
      <c r="B997" s="30"/>
      <c r="C997" s="30"/>
    </row>
    <row r="998">
      <c r="B998" s="30"/>
      <c r="C998" s="30"/>
    </row>
    <row r="999">
      <c r="B999" s="30"/>
      <c r="C999" s="30"/>
    </row>
    <row r="1000">
      <c r="B1000" s="30"/>
      <c r="C1000" s="30"/>
    </row>
  </sheetData>
  <dataValidations>
    <dataValidation type="list" allowBlank="1" showErrorMessage="1" sqref="D2:F172 L2:L172">
      <formula1>"Yes,No"</formula1>
    </dataValidation>
    <dataValidation type="list" allowBlank="1" showErrorMessage="1" sqref="G2:J172">
      <formula1>"0,0.5,1"</formula1>
    </dataValidation>
    <dataValidation type="list" allowBlank="1" showErrorMessage="1" sqref="K2:K172">
      <formula1>"5 – High-quality, Clean Bangla speech,4– Usable, minor flaws Minor background noise.,3 – Mixed language or inconsistent quality,2 - Poor quality Noisy, unclear,,1 - Unusable Severely degraded, or non-Bangla"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s>
  <sheetData>
    <row r="1">
      <c r="A1" s="2" t="str">
        <f>IFERROR(__xludf.DUMMYFUNCTION("IMPORTRANGE(""https://docs.google.com/spreadsheets/d/1zG1DWj8Uo2fz0FrO7K3VPRZJmjbogsoOJ6_8dRxiwFM"", ""Data!A:L"")"),"Filename")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IFERROR(__xludf.DUMMYFUNCTION("""COMPUTED_VALUE"""),"collect\read\YouTube\Bangladesh Television (BTV)\__yFg8a8Zb4\0289a285-0be7-4e45-b2f2-4e3700ea5348.flac")</f>
        <v>collect\read\YouTube\Bangladesh Television (BTV)\__yFg8a8Zb4\0289a285-0be7-4e45-b2f2-4e3700ea5348.flac</v>
      </c>
      <c r="B2" s="2">
        <f>IFERROR(__xludf.DUMMYFUNCTION("""COMPUTED_VALUE"""),30.0)</f>
        <v>30</v>
      </c>
      <c r="C2" s="2" t="str">
        <f>IFERROR(__xludf.DUMMYFUNCTION("""COMPUTED_VALUE"""),"প্রায় আশি পঁচাশি পার্সেন্ট মানুষ ঢাকার বাইরে গ্রামে বাস করে এবং এই গ্রামের মানুষগুলো কিন্তু এতদিন পর্যন্ত তাদের বিশ্বাস ছিল বা এখনো পর্যন্ত টুছাম হছেন বিশ্বাস আছে যে করোনা হচ্ছে এটা শহরের অসু করানা হচ্ছে এটা বড় লোকের অসু তো আয় এখনো পর্যন্ত যদি একটা দেশের "&amp;"মানে এত বিশাল জনগোষ্ঠী করোনাকে ওভাবে শিকারী না করে তাহলে এই জনগোষ্ঠীকে আপনি কীভাবে আপনি সোশ্যাল ডিসটেন্সিংয়ের কথা বলেন আপনি মাস্ক পরার কথা বলেন এটা আপনি তো রাতারাতিটা করতে পারবেন")</f>
        <v>প্রায় আশি পঁচাশি পার্সেন্ট মানুষ ঢাকার বাইরে গ্রামে বাস করে এবং এই গ্রামের মানুষগুলো কিন্তু এতদিন পর্যন্ত তাদের বিশ্বাস ছিল বা এখনো পর্যন্ত টুছাম হছেন বিশ্বাস আছে যে করোনা হচ্ছে এটা শহরের অসু করানা হচ্ছে এটা বড় লোকের অসু তো আয় এখনো পর্যন্ত যদি একটা দেশের মানে এত বিশাল জনগোষ্ঠী করোনাকে ওভাবে শিকারী না করে তাহলে এই জনগোষ্ঠীকে আপনি কীভাবে আপনি সোশ্যাল ডিসটেন্সিংয়ের কথা বলেন আপনি মাস্ক পরার কথা বলেন এটা আপনি তো রাতারাতিটা করতে পারবেন</v>
      </c>
      <c r="D2" s="2" t="str">
        <f>IFERROR(__xludf.DUMMYFUNCTION("""COMPUTED_VALUE"""),"No")</f>
        <v>No</v>
      </c>
      <c r="E2" s="2" t="str">
        <f>IFERROR(__xludf.DUMMYFUNCTION("""COMPUTED_VALUE"""),"Yes")</f>
        <v>Yes</v>
      </c>
      <c r="F2" s="2" t="str">
        <f>IFERROR(__xludf.DUMMYFUNCTION("""COMPUTED_VALUE"""),"Yes")</f>
        <v>Yes</v>
      </c>
      <c r="G2" s="2">
        <f>IFERROR(__xludf.DUMMYFUNCTION("""COMPUTED_VALUE"""),0.5)</f>
        <v>0.5</v>
      </c>
      <c r="H2" s="2">
        <f>IFERROR(__xludf.DUMMYFUNCTION("""COMPUTED_VALUE"""),0.5)</f>
        <v>0.5</v>
      </c>
      <c r="I2" s="2">
        <f>IFERROR(__xludf.DUMMYFUNCTION("""COMPUTED_VALUE"""),1.0)</f>
        <v>1</v>
      </c>
      <c r="J2" s="2">
        <f>IFERROR(__xludf.DUMMYFUNCTION("""COMPUTED_VALUE"""),1.0)</f>
        <v>1</v>
      </c>
      <c r="K2" s="2" t="str">
        <f>IFERROR(__xludf.DUMMYFUNCTION("""COMPUTED_VALUE"""),"4– Usable, minor flaws Minor background noise.")</f>
        <v>4– Usable, minor flaws Minor background noise.</v>
      </c>
      <c r="L2" s="2" t="str">
        <f>IFERROR(__xludf.DUMMYFUNCTION("""COMPUTED_VALUE"""),"No")</f>
        <v>No</v>
      </c>
    </row>
    <row r="3">
      <c r="A3" s="2" t="str">
        <f>IFERROR(__xludf.DUMMYFUNCTION("""COMPUTED_VALUE"""),"collect\read\YouTube\Bangladesh Television (BTV)\__yFg8a8Zb4\02c8403f-16e9-441e-be80-669c2cf8de3e.flac")</f>
        <v>collect\read\YouTube\Bangladesh Television (BTV)\__yFg8a8Zb4\02c8403f-16e9-441e-be80-669c2cf8de3e.flac</v>
      </c>
      <c r="B3" s="2">
        <f>IFERROR(__xludf.DUMMYFUNCTION("""COMPUTED_VALUE"""),30.0)</f>
        <v>30</v>
      </c>
      <c r="C3" s="2" t="str">
        <f>IFERROR(__xludf.DUMMYFUNCTION("""COMPUTED_VALUE"""),"আমরা শুনেছি যো সেটা হয়তো আজকে আগামীকাল থেকে বা আজকে থেকেই হয়তো হয় শুরু হয়েছে এই ঠিকাদার প্রক্রিয়াটি এভাবে যদি টিকা দেয়ার প্রক্রিয়া আবার নতুন করে শুরু করা যায় এবং এটা যদি অব্যাহত রাখা যায় আমরা টিকার যোগান যদি আমরা পাই তবে একটি বিষয় মনে রাখতে হবে যে সারা বি"&amp;"শ্বব্যাপী কিন্তু টিকার সংকট রয়েছে আপনি জানেন যে এখনো অনেক দেশ কিন্তু টিকার মুখই দেখে না ঠিকি ঠিক আছে এখানে পায় নাই আমাদের মত দেশ আমরা কিন্তু এ ব্যাপারে অনেক অগ্রগামী ছিলাম")</f>
        <v>আমরা শুনেছি যো সেটা হয়তো আজকে আগামীকাল থেকে বা আজকে থেকেই হয়তো হয় শুরু হয়েছে এই ঠিকাদার প্রক্রিয়াটি এভাবে যদি টিকা দেয়ার প্রক্রিয়া আবার নতুন করে শুরু করা যায় এবং এটা যদি অব্যাহত রাখা যায় আমরা টিকার যোগান যদি আমরা পাই তবে একটি বিষয় মনে রাখতে হবে যে সারা বিশ্বব্যাপী কিন্তু টিকার সংকট রয়েছে আপনি জানেন যে এখনো অনেক দেশ কিন্তু টিকার মুখই দেখে না ঠিকি ঠিক আছে এখানে পায় নাই আমাদের মত দেশ আমরা কিন্তু এ ব্যাপারে অনেক অগ্রগামী ছিলাম</v>
      </c>
      <c r="D3" s="2" t="str">
        <f>IFERROR(__xludf.DUMMYFUNCTION("""COMPUTED_VALUE"""),"No")</f>
        <v>No</v>
      </c>
      <c r="E3" s="2" t="str">
        <f>IFERROR(__xludf.DUMMYFUNCTION("""COMPUTED_VALUE"""),"No")</f>
        <v>No</v>
      </c>
      <c r="F3" s="2" t="str">
        <f>IFERROR(__xludf.DUMMYFUNCTION("""COMPUTED_VALUE"""),"Yes")</f>
        <v>Yes</v>
      </c>
      <c r="G3" s="2">
        <f>IFERROR(__xludf.DUMMYFUNCTION("""COMPUTED_VALUE"""),1.0)</f>
        <v>1</v>
      </c>
      <c r="H3" s="2">
        <f>IFERROR(__xludf.DUMMYFUNCTION("""COMPUTED_VALUE"""),0.5)</f>
        <v>0.5</v>
      </c>
      <c r="I3" s="2">
        <f>IFERROR(__xludf.DUMMYFUNCTION("""COMPUTED_VALUE"""),1.0)</f>
        <v>1</v>
      </c>
      <c r="J3" s="2">
        <f>IFERROR(__xludf.DUMMYFUNCTION("""COMPUTED_VALUE"""),0.5)</f>
        <v>0.5</v>
      </c>
      <c r="K3" s="2" t="str">
        <f>IFERROR(__xludf.DUMMYFUNCTION("""COMPUTED_VALUE"""),"4– Usable, minor flaws Minor background noise.")</f>
        <v>4– Usable, minor flaws Minor background noise.</v>
      </c>
      <c r="L3" s="2" t="str">
        <f>IFERROR(__xludf.DUMMYFUNCTION("""COMPUTED_VALUE"""),"No")</f>
        <v>No</v>
      </c>
    </row>
    <row r="4">
      <c r="A4" s="2" t="str">
        <f>IFERROR(__xludf.DUMMYFUNCTION("""COMPUTED_VALUE"""),"collect\read\YouTube\Bangladesh Television (BTV)\__yFg8a8Zb4\0537df13-c9ae-43da-9d40-b3a5ae3c7df1.flac")</f>
        <v>collect\read\YouTube\Bangladesh Television (BTV)\__yFg8a8Zb4\0537df13-c9ae-43da-9d40-b3a5ae3c7df1.flac</v>
      </c>
      <c r="B4" s="2">
        <f>IFERROR(__xludf.DUMMYFUNCTION("""COMPUTED_VALUE"""),30.0)</f>
        <v>30</v>
      </c>
      <c r="C4" s="2" t="str">
        <f>IFERROR(__xludf.DUMMYFUNCTION("""COMPUTED_VALUE"""),"বারবার বলেছিেন বিশ্ববাসীকে পৃথিবীতে কেউ একা বাঁচতে পারবে না সবাইকে নিয়ে বাঁচতে হবে সেই ক্ষেত্রে এই যে আপনার এই মেদাস্বত্ব আইনের যে জটিলতা সেটাকে আপনি কিভাবে দেখছেন আপনি যদি তিকি দুটো বাক্য শেষ করেন আমি হস্নে সকবা যদি উমি বিশেষ পরিস্থিতির কথা যদি বলি করোনা"&amp;"র মতো এটাতে সারা পৃথিবীর মানুষ এখানে আমি কোনো মালিকানাসক্ত মেধা")</f>
        <v>বারবার বলেছিেন বিশ্ববাসীকে পৃথিবীতে কেউ একা বাঁচতে পারবে না সবাইকে নিয়ে বাঁচতে হবে সেই ক্ষেত্রে এই যে আপনার এই মেদাস্বত্ব আইনের যে জটিলতা সেটাকে আপনি কিভাবে দেখছেন আপনি যদি তিকি দুটো বাক্য শেষ করেন আমি হস্নে সকবা যদি উমি বিশেষ পরিস্থিতির কথা যদি বলি করোনার মতো এটাতে সারা পৃথিবীর মানুষ এখানে আমি কোনো মালিকানাসক্ত মেধা</v>
      </c>
      <c r="D4" s="2" t="str">
        <f>IFERROR(__xludf.DUMMYFUNCTION("""COMPUTED_VALUE"""),"No")</f>
        <v>No</v>
      </c>
      <c r="E4" s="2" t="str">
        <f>IFERROR(__xludf.DUMMYFUNCTION("""COMPUTED_VALUE"""),"Yes")</f>
        <v>Yes</v>
      </c>
      <c r="F4" s="2" t="str">
        <f>IFERROR(__xludf.DUMMYFUNCTION("""COMPUTED_VALUE"""),"Yes")</f>
        <v>Yes</v>
      </c>
      <c r="G4" s="2">
        <f>IFERROR(__xludf.DUMMYFUNCTION("""COMPUTED_VALUE"""),0.5)</f>
        <v>0.5</v>
      </c>
      <c r="H4" s="2">
        <f>IFERROR(__xludf.DUMMYFUNCTION("""COMPUTED_VALUE"""),0.5)</f>
        <v>0.5</v>
      </c>
      <c r="I4" s="2">
        <f>IFERROR(__xludf.DUMMYFUNCTION("""COMPUTED_VALUE"""),1.0)</f>
        <v>1</v>
      </c>
      <c r="J4" s="2">
        <f>IFERROR(__xludf.DUMMYFUNCTION("""COMPUTED_VALUE"""),0.5)</f>
        <v>0.5</v>
      </c>
      <c r="K4" s="2" t="str">
        <f>IFERROR(__xludf.DUMMYFUNCTION("""COMPUTED_VALUE"""),"2 - Poor quality Noisy, unclear,")</f>
        <v>2 - Poor quality Noisy, unclear,</v>
      </c>
      <c r="L4" s="2" t="str">
        <f>IFERROR(__xludf.DUMMYFUNCTION("""COMPUTED_VALUE"""),"No")</f>
        <v>No</v>
      </c>
    </row>
    <row r="5">
      <c r="A5" s="2" t="str">
        <f>IFERROR(__xludf.DUMMYFUNCTION("""COMPUTED_VALUE"""),"collect\read\YouTube\Bangladesh Television (BTV)\__yFg8a8Zb4\0bcedcfb-9679-4453-9c15-02688996cb63.flac")</f>
        <v>collect\read\YouTube\Bangladesh Television (BTV)\__yFg8a8Zb4\0bcedcfb-9679-4453-9c15-02688996cb63.flac</v>
      </c>
      <c r="B5" s="2">
        <f>IFERROR(__xludf.DUMMYFUNCTION("""COMPUTED_VALUE"""),30.0)</f>
        <v>30</v>
      </c>
      <c r="C5" s="2" t="str">
        <f>IFERROR(__xludf.DUMMYFUNCTION("""COMPUTED_VALUE"""),"হাস সেটাকে আমি কখনোই সমর্থন করিন করতে পারিনি এবং এটা বং সারা পৃথিবীতে মানবতাবাদী মানুষ কেউ সমর্থন অবশ্যই অবশ্য ইসমাইল খান আমিক শেষ পর্যায়ে আপনার কাছে জানতে চাই যে ট্রেড রিডেটেড আস্পেক্ট অ ইন্টেলেকচুয়াল প্রপার্টি রাইটস এই যে টিটসের কথাও আমি বলি তার কাউন্সি"&amp;"ল পর্যন্ত এখনো পর্যন্ত আটকে আছে এই বিষয়টি আপনি খুব ভালো করে জানেন জে বাইডেন পর্যন্ত বেশ এক মাস চালিও বলেছে যে এই ব্যবস্থাপনা রোহিত করা দরকার কারণ মাননীয় প্রধানমন্ত্রী শেখ হাসিন")</f>
        <v>হাস সেটাকে আমি কখনোই সমর্থন করিন করতে পারিনি এবং এটা বং সারা পৃথিবীতে মানবতাবাদী মানুষ কেউ সমর্থন অবশ্যই অবশ্য ইসমাইল খান আমিক শেষ পর্যায়ে আপনার কাছে জানতে চাই যে ট্রেড রিডেটেড আস্পেক্ট অ ইন্টেলেকচুয়াল প্রপার্টি রাইটস এই যে টিটসের কথাও আমি বলি তার কাউন্সিল পর্যন্ত এখনো পর্যন্ত আটকে আছে এই বিষয়টি আপনি খুব ভালো করে জানেন জে বাইডেন পর্যন্ত বেশ এক মাস চালিও বলেছে যে এই ব্যবস্থাপনা রোহিত করা দরকার কারণ মাননীয় প্রধানমন্ত্রী শেখ হাসিন</v>
      </c>
      <c r="D5" s="2" t="str">
        <f>IFERROR(__xludf.DUMMYFUNCTION("""COMPUTED_VALUE"""),"No")</f>
        <v>No</v>
      </c>
      <c r="E5" s="2" t="str">
        <f>IFERROR(__xludf.DUMMYFUNCTION("""COMPUTED_VALUE"""),"Yes")</f>
        <v>Yes</v>
      </c>
      <c r="F5" s="2" t="str">
        <f>IFERROR(__xludf.DUMMYFUNCTION("""COMPUTED_VALUE"""),"Yes")</f>
        <v>Yes</v>
      </c>
      <c r="G5" s="2">
        <f>IFERROR(__xludf.DUMMYFUNCTION("""COMPUTED_VALUE"""),0.5)</f>
        <v>0.5</v>
      </c>
      <c r="H5" s="2">
        <f>IFERROR(__xludf.DUMMYFUNCTION("""COMPUTED_VALUE"""),0.5)</f>
        <v>0.5</v>
      </c>
      <c r="I5" s="2">
        <f>IFERROR(__xludf.DUMMYFUNCTION("""COMPUTED_VALUE"""),1.0)</f>
        <v>1</v>
      </c>
      <c r="J5" s="2">
        <f>IFERROR(__xludf.DUMMYFUNCTION("""COMPUTED_VALUE"""),0.5)</f>
        <v>0.5</v>
      </c>
      <c r="K5" s="2" t="str">
        <f>IFERROR(__xludf.DUMMYFUNCTION("""COMPUTED_VALUE"""),"3 – Mixed language or inconsistent quality")</f>
        <v>3 – Mixed language or inconsistent quality</v>
      </c>
      <c r="L5" s="2" t="str">
        <f>IFERROR(__xludf.DUMMYFUNCTION("""COMPUTED_VALUE"""),"Yes")</f>
        <v>Yes</v>
      </c>
    </row>
    <row r="6">
      <c r="A6" s="2" t="str">
        <f>IFERROR(__xludf.DUMMYFUNCTION("""COMPUTED_VALUE"""),"collect\read\YouTube\Bangladesh Television (BTV)\__yFg8a8Zb4\0be0a534-0e6e-4bbc-88be-4a62d2ac36af.flac")</f>
        <v>collect\read\YouTube\Bangladesh Television (BTV)\__yFg8a8Zb4\0be0a534-0e6e-4bbc-88be-4a62d2ac36af.flac</v>
      </c>
      <c r="B6" s="2">
        <f>IFERROR(__xludf.DUMMYFUNCTION("""COMPUTED_VALUE"""),30.0)</f>
        <v>30</v>
      </c>
      <c r="C6" s="2" t="str">
        <f>IFERROR(__xludf.DUMMYFUNCTION("""COMPUTED_VALUE"""),"ভাবী আমি ছাতে বছব যে তখন সাত্থের একজন মানুষ কভাবে এগিয়ে যাচ্ছেন আপনি এমডিযে কথা বলেছেন এমডিজে আটটা গোলের মধ্যে তিনটা গোলেই স্প্রুসিভলি আমাদের ছাত্র বিষয়ক রেটেড ছিল শিছু মৃত্যুহার কমানো মাতি মৃত্যু হার কমানো এবং মাি শাস্ত্র সমনত রাখা এবং ইনফ্েকটার ডিজিস যে"&amp;"গুলো সারাবে এই বইের কন্ট্রোল করা এতিনটাতেই বাংলাদেশ আমাদের সান")</f>
        <v>ভাবী আমি ছাতে বছব যে তখন সাত্থের একজন মানুষ কভাবে এগিয়ে যাচ্ছেন আপনি এমডিযে কথা বলেছেন এমডিজে আটটা গোলের মধ্যে তিনটা গোলেই স্প্রুসিভলি আমাদের ছাত্র বিষয়ক রেটেড ছিল শিছু মৃত্যুহার কমানো মাতি মৃত্যু হার কমানো এবং মাি শাস্ত্র সমনত রাখা এবং ইনফ্েকটার ডিজিস যেগুলো সারাবে এই বইের কন্ট্রোল করা এতিনটাতেই বাংলাদেশ আমাদের সান</v>
      </c>
      <c r="D6" s="2" t="str">
        <f>IFERROR(__xludf.DUMMYFUNCTION("""COMPUTED_VALUE"""),"No")</f>
        <v>No</v>
      </c>
      <c r="E6" s="2" t="str">
        <f>IFERROR(__xludf.DUMMYFUNCTION("""COMPUTED_VALUE"""),"Yes")</f>
        <v>Yes</v>
      </c>
      <c r="F6" s="2" t="str">
        <f>IFERROR(__xludf.DUMMYFUNCTION("""COMPUTED_VALUE"""),"Yes")</f>
        <v>Yes</v>
      </c>
      <c r="G6" s="2">
        <f>IFERROR(__xludf.DUMMYFUNCTION("""COMPUTED_VALUE"""),0.5)</f>
        <v>0.5</v>
      </c>
      <c r="H6" s="2">
        <f>IFERROR(__xludf.DUMMYFUNCTION("""COMPUTED_VALUE"""),0.5)</f>
        <v>0.5</v>
      </c>
      <c r="I6" s="2">
        <f>IFERROR(__xludf.DUMMYFUNCTION("""COMPUTED_VALUE"""),1.0)</f>
        <v>1</v>
      </c>
      <c r="J6" s="2">
        <f>IFERROR(__xludf.DUMMYFUNCTION("""COMPUTED_VALUE"""),0.5)</f>
        <v>0.5</v>
      </c>
      <c r="K6" s="2" t="str">
        <f>IFERROR(__xludf.DUMMYFUNCTION("""COMPUTED_VALUE"""),"4– Usable, minor flaws Minor background noise.")</f>
        <v>4– Usable, minor flaws Minor background noise.</v>
      </c>
      <c r="L6" s="2" t="str">
        <f>IFERROR(__xludf.DUMMYFUNCTION("""COMPUTED_VALUE"""),"No")</f>
        <v>No</v>
      </c>
    </row>
    <row r="7">
      <c r="A7" s="2" t="str">
        <f>IFERROR(__xludf.DUMMYFUNCTION("""COMPUTED_VALUE"""),"collect\read\YouTube\Bangladesh Television (BTV)\__yFg8a8Zb4\0efe9120-ec50-4b37-b01a-4739cd0d63a9.flac")</f>
        <v>collect\read\YouTube\Bangladesh Television (BTV)\__yFg8a8Zb4\0efe9120-ec50-4b37-b01a-4739cd0d63a9.flac</v>
      </c>
      <c r="B7" s="2">
        <f>IFERROR(__xludf.DUMMYFUNCTION("""COMPUTED_VALUE"""),30.0)</f>
        <v>30</v>
      </c>
      <c r="C7" s="2" t="str">
        <f>IFERROR(__xludf.DUMMYFUNCTION("""COMPUTED_VALUE"""),"সেইক্ষেত্রে কিন্তু সবাই বলছেন আমিজাস্ট একটু এড করি সেটা তো অবশ্য একদিক থেকে ইকুইটির দিক থেকে চিন্তা করতে গেলে অবশ্যই আমরা মানে এটাকে রাইট হিসেবে আমাদের পাশটেক টিক থেকে এটা আমরা অবশ্যই রাইট বলে মনে করি যে এটিফার পেটেন্ট প্রাইট উন্মুক্ত করে দেয়া হোক এবং মান"&amp;"ে দরিদ্র দেশগুলো যাদের সেই বিলিয়ন বিলিয়ন ডলার ইনভেস্ট করার ক্যাপাসিটি নায় তারাও যেন সেটারই পায় আমার আমার মনে হয় যে এদিকে মাননীয় প্রধানমন্ত্রীর যেই নেতৃত্ব এবং উনি যে যেভাবে উনি এটাকে পেশারাইজ করছেন আমার মনে হয় যে সেটা মানে আমাদের জন্য খুবই একটা")</f>
        <v>সেইক্ষেত্রে কিন্তু সবাই বলছেন আমিজাস্ট একটু এড করি সেটা তো অবশ্য একদিক থেকে ইকুইটির দিক থেকে চিন্তা করতে গেলে অবশ্যই আমরা মানে এটাকে রাইট হিসেবে আমাদের পাশটেক টিক থেকে এটা আমরা অবশ্যই রাইট বলে মনে করি যে এটিফার পেটেন্ট প্রাইট উন্মুক্ত করে দেয়া হোক এবং মানে দরিদ্র দেশগুলো যাদের সেই বিলিয়ন বিলিয়ন ডলার ইনভেস্ট করার ক্যাপাসিটি নায় তারাও যেন সেটারই পায় আমার আমার মনে হয় যে এদিকে মাননীয় প্রধানমন্ত্রীর যেই নেতৃত্ব এবং উনি যে যেভাবে উনি এটাকে পেশারাইজ করছেন আমার মনে হয় যে সেটা মানে আমাদের জন্য খুবই একটা</v>
      </c>
      <c r="D7" s="2" t="str">
        <f>IFERROR(__xludf.DUMMYFUNCTION("""COMPUTED_VALUE"""),"No")</f>
        <v>No</v>
      </c>
      <c r="E7" s="2" t="str">
        <f>IFERROR(__xludf.DUMMYFUNCTION("""COMPUTED_VALUE"""),"Yes")</f>
        <v>Yes</v>
      </c>
      <c r="F7" s="2" t="str">
        <f>IFERROR(__xludf.DUMMYFUNCTION("""COMPUTED_VALUE"""),"Yes")</f>
        <v>Yes</v>
      </c>
      <c r="G7" s="2">
        <f>IFERROR(__xludf.DUMMYFUNCTION("""COMPUTED_VALUE"""),0.5)</f>
        <v>0.5</v>
      </c>
      <c r="H7" s="2">
        <f>IFERROR(__xludf.DUMMYFUNCTION("""COMPUTED_VALUE"""),0.5)</f>
        <v>0.5</v>
      </c>
      <c r="I7" s="2">
        <f>IFERROR(__xludf.DUMMYFUNCTION("""COMPUTED_VALUE"""),0.5)</f>
        <v>0.5</v>
      </c>
      <c r="J7" s="2">
        <f>IFERROR(__xludf.DUMMYFUNCTION("""COMPUTED_VALUE"""),0.5)</f>
        <v>0.5</v>
      </c>
      <c r="K7" s="2" t="str">
        <f>IFERROR(__xludf.DUMMYFUNCTION("""COMPUTED_VALUE"""),"4– Usable, minor flaws Minor background noise.")</f>
        <v>4– Usable, minor flaws Minor background noise.</v>
      </c>
      <c r="L7" s="2" t="str">
        <f>IFERROR(__xludf.DUMMYFUNCTION("""COMPUTED_VALUE"""),"No")</f>
        <v>No</v>
      </c>
    </row>
    <row r="8">
      <c r="A8" s="2" t="str">
        <f>IFERROR(__xludf.DUMMYFUNCTION("""COMPUTED_VALUE"""),"collect\read\YouTube\Bangladesh Television (BTV)\__yFg8a8Zb4\14ccc579-631a-4976-88c9-1ca861f27432.flac")</f>
        <v>collect\read\YouTube\Bangladesh Television (BTV)\__yFg8a8Zb4\14ccc579-631a-4976-88c9-1ca861f27432.flac</v>
      </c>
      <c r="B8" s="2">
        <f>IFERROR(__xludf.DUMMYFUNCTION("""COMPUTED_VALUE"""),30.0)</f>
        <v>30</v>
      </c>
      <c r="C8" s="2" t="str">
        <f>IFERROR(__xludf.DUMMYFUNCTION("""COMPUTED_VALUE"""),"বলে আমরা কিন্তু অনেক ভালো অবস্থা আছি আমাদের এখানে করোনা ব্যবস্থাপনা প্রথম দিকে হয়তো একটু সমস্যা আমাদের ছিল কিন্তু পরবর্তীতে কিন্তু আমাদের সীমিত সামর্থ্য নিয়েও আমরা কিন্তু যেমন ভাবে এগিয়ে যাচ্ছি মাননীয় প্রধানমন্ত্রীর নেতৃত্বে সেটা কিন্তু অবশ্যই সারা বিশ্ব "&amp;"বিশ্বব্যাপী ভূয়সী প্রশংসিত হয়েছে এবং আমরা তার ফল পাচ্ছি তো মাননীয় প্রধানমন্ত্রী যে কথাটি সংসদে বলেছেন যে আমাদের করোনা ব্যবস্থাপনায় স্বাস্থ্যবিধি মেনে চলা এই কথাটি কিন্তু আমাদেরকে অক্ষর অক্ষর পালন পার্লন যদি")</f>
        <v>বলে আমরা কিন্তু অনেক ভালো অবস্থা আছি আমাদের এখানে করোনা ব্যবস্থাপনা প্রথম দিকে হয়তো একটু সমস্যা আমাদের ছিল কিন্তু পরবর্তীতে কিন্তু আমাদের সীমিত সামর্থ্য নিয়েও আমরা কিন্তু যেমন ভাবে এগিয়ে যাচ্ছি মাননীয় প্রধানমন্ত্রীর নেতৃত্বে সেটা কিন্তু অবশ্যই সারা বিশ্ব বিশ্বব্যাপী ভূয়সী প্রশংসিত হয়েছে এবং আমরা তার ফল পাচ্ছি তো মাননীয় প্রধানমন্ত্রী যে কথাটি সংসদে বলেছেন যে আমাদের করোনা ব্যবস্থাপনায় স্বাস্থ্যবিধি মেনে চলা এই কথাটি কিন্তু আমাদেরকে অক্ষর অক্ষর পালন পার্লন যদি</v>
      </c>
      <c r="D8" s="2" t="str">
        <f>IFERROR(__xludf.DUMMYFUNCTION("""COMPUTED_VALUE"""),"Yes")</f>
        <v>Yes</v>
      </c>
      <c r="E8" s="2" t="str">
        <f>IFERROR(__xludf.DUMMYFUNCTION("""COMPUTED_VALUE"""),"No")</f>
        <v>No</v>
      </c>
      <c r="F8" s="2" t="str">
        <f>IFERROR(__xludf.DUMMYFUNCTION("""COMPUTED_VALUE"""),"No")</f>
        <v>No</v>
      </c>
      <c r="G8" s="2">
        <f>IFERROR(__xludf.DUMMYFUNCTION("""COMPUTED_VALUE"""),1.0)</f>
        <v>1</v>
      </c>
      <c r="H8" s="2">
        <f>IFERROR(__xludf.DUMMYFUNCTION("""COMPUTED_VALUE"""),1.0)</f>
        <v>1</v>
      </c>
      <c r="I8" s="2">
        <f>IFERROR(__xludf.DUMMYFUNCTION("""COMPUTED_VALUE"""),1.0)</f>
        <v>1</v>
      </c>
      <c r="J8" s="2">
        <f>IFERROR(__xludf.DUMMYFUNCTION("""COMPUTED_VALUE"""),1.0)</f>
        <v>1</v>
      </c>
      <c r="K8" s="2" t="str">
        <f>IFERROR(__xludf.DUMMYFUNCTION("""COMPUTED_VALUE"""),"4– Usable, minor flaws Minor background noise.")</f>
        <v>4– Usable, minor flaws Minor background noise.</v>
      </c>
      <c r="L8" s="2" t="str">
        <f>IFERROR(__xludf.DUMMYFUNCTION("""COMPUTED_VALUE"""),"No")</f>
        <v>No</v>
      </c>
    </row>
    <row r="9">
      <c r="A9" s="2" t="str">
        <f>IFERROR(__xludf.DUMMYFUNCTION("""COMPUTED_VALUE"""),"collect\read\YouTube\Bangladesh Television (BTV)\__yFg8a8Zb4\1e60b7f8-1be0-472d-9f0a-1c3bcc6e526f.flac")</f>
        <v>collect\read\YouTube\Bangladesh Television (BTV)\__yFg8a8Zb4\1e60b7f8-1be0-472d-9f0a-1c3bcc6e526f.flac</v>
      </c>
      <c r="B9" s="2">
        <f>IFERROR(__xludf.DUMMYFUNCTION("""COMPUTED_VALUE"""),30.0)</f>
        <v>30</v>
      </c>
      <c r="C9" s="2" t="str">
        <f>IFERROR(__xludf.DUMMYFUNCTION("""COMPUTED_VALUE"""),"সেই আলোচনা আমরা আসবো  অধ্যাপক ইসমাইল খান গত পঁশচ সাতক্ষীরাতে সংক্রমণের হার ছিল তিপ্পান্ন দশমিক এক নয় শতাংশ তা আমরা যদি বলছি সীমান্ত লাগোয়ার যে ব্যাপারটি বলছি আপনি একটা বিশ্লেষণ চমৎকার করেছেন যে আমর তারাতো যদি সংক্রমণ কম হয়ে থাকে আর ওই চাঁপাইনবাবগঞ্জের লাগ"&amp;"োয়া রাজ্যে ভারতের যে রাজ্য খেরাপ যদি সংক্রমণ")</f>
        <v>সেই আলোচনা আমরা আসবো  অধ্যাপক ইসমাইল খান গত পঁশচ সাতক্ষীরাতে সংক্রমণের হার ছিল তিপ্পান্ন দশমিক এক নয় শতাংশ তা আমরা যদি বলছি সীমান্ত লাগোয়ার যে ব্যাপারটি বলছি আপনি একটা বিশ্লেষণ চমৎকার করেছেন যে আমর তারাতো যদি সংক্রমণ কম হয়ে থাকে আর ওই চাঁপাইনবাবগঞ্জের লাগোয়া রাজ্যে ভারতের যে রাজ্য খেরাপ যদি সংক্রমণ</v>
      </c>
      <c r="D9" s="2" t="str">
        <f>IFERROR(__xludf.DUMMYFUNCTION("""COMPUTED_VALUE"""),"No")</f>
        <v>No</v>
      </c>
      <c r="E9" s="2" t="str">
        <f>IFERROR(__xludf.DUMMYFUNCTION("""COMPUTED_VALUE"""),"No")</f>
        <v>No</v>
      </c>
      <c r="F9" s="2" t="str">
        <f>IFERROR(__xludf.DUMMYFUNCTION("""COMPUTED_VALUE"""),"Yes")</f>
        <v>Yes</v>
      </c>
      <c r="G9" s="2">
        <f>IFERROR(__xludf.DUMMYFUNCTION("""COMPUTED_VALUE"""),1.0)</f>
        <v>1</v>
      </c>
      <c r="H9" s="2">
        <f>IFERROR(__xludf.DUMMYFUNCTION("""COMPUTED_VALUE"""),0.5)</f>
        <v>0.5</v>
      </c>
      <c r="I9" s="2">
        <f>IFERROR(__xludf.DUMMYFUNCTION("""COMPUTED_VALUE"""),1.0)</f>
        <v>1</v>
      </c>
      <c r="J9" s="2">
        <f>IFERROR(__xludf.DUMMYFUNCTION("""COMPUTED_VALUE"""),1.0)</f>
        <v>1</v>
      </c>
      <c r="K9" s="2" t="str">
        <f>IFERROR(__xludf.DUMMYFUNCTION("""COMPUTED_VALUE"""),"4– Usable, minor flaws Minor background noise.")</f>
        <v>4– Usable, minor flaws Minor background noise.</v>
      </c>
      <c r="L9" s="2" t="str">
        <f>IFERROR(__xludf.DUMMYFUNCTION("""COMPUTED_VALUE"""),"No")</f>
        <v>No</v>
      </c>
    </row>
    <row r="10">
      <c r="A10" s="2" t="str">
        <f>IFERROR(__xludf.DUMMYFUNCTION("""COMPUTED_VALUE"""),"collect\read\YouTube\Bangladesh Television (BTV)\__yFg8a8Zb4\2cb5aceb-cb8e-46c9-b56e-acc70f034da1.flac")</f>
        <v>collect\read\YouTube\Bangladesh Television (BTV)\__yFg8a8Zb4\2cb5aceb-cb8e-46c9-b56e-acc70f034da1.flac</v>
      </c>
      <c r="B10" s="2">
        <f>IFERROR(__xludf.DUMMYFUNCTION("""COMPUTED_VALUE"""),30.0)</f>
        <v>30</v>
      </c>
      <c r="C10" s="2" t="str">
        <f>IFERROR(__xludf.DUMMYFUNCTION("""COMPUTED_VALUE"""),"না করি তাহলে কিন্তু আমাদের অনেক সামনে অনেক বিপদ আসতে পারে কারণ আপনি জানেন যে বর্তমানে যে ইন্ডিয়ান ভ্যারিয়েন্ট আমাদের এখানে এসেছে সে ইন্ডিয়ান ভ্যারিয়েন্টের কারণে আমাদের পেরিফারি থেকে শুরু করে কিন্তু একটা ঢাকার দিকে আসতে আস্তে আস্তে করে তো এক্ষেত্রে আমরা আগ"&amp;"ে থেকেই জানি যে স্বাস্থ্যবিধি মেইন্টেন করার ব্যাপার আমাদের ভিতরে কিন্তু উদাসীনতা আছে মাননীয় প্রধানমন্ত্রী বারংবার যখনই কথা বলেছেন তখনই কিন্তু এই বিষয়টির উপর গুরুত্ব দিয়েছেন কিন্তু আমাদের জনগণকে কিন্তু আমরা সেটা সেভাবে কিন্তু আমরা আ স্বাস্থ্যবিধি মানার ব্য"&amp;"াপারে")</f>
        <v>না করি তাহলে কিন্তু আমাদের অনেক সামনে অনেক বিপদ আসতে পারে কারণ আপনি জানেন যে বর্তমানে যে ইন্ডিয়ান ভ্যারিয়েন্ট আমাদের এখানে এসেছে সে ইন্ডিয়ান ভ্যারিয়েন্টের কারণে আমাদের পেরিফারি থেকে শুরু করে কিন্তু একটা ঢাকার দিকে আসতে আস্তে আস্তে করে তো এক্ষেত্রে আমরা আগে থেকেই জানি যে স্বাস্থ্যবিধি মেইন্টেন করার ব্যাপার আমাদের ভিতরে কিন্তু উদাসীনতা আছে মাননীয় প্রধানমন্ত্রী বারংবার যখনই কথা বলেছেন তখনই কিন্তু এই বিষয়টির উপর গুরুত্ব দিয়েছেন কিন্তু আমাদের জনগণকে কিন্তু আমরা সেটা সেভাবে কিন্তু আমরা আ স্বাস্থ্যবিধি মানার ব্যাপারে</v>
      </c>
      <c r="D10" s="2" t="str">
        <f>IFERROR(__xludf.DUMMYFUNCTION("""COMPUTED_VALUE"""),"No")</f>
        <v>No</v>
      </c>
      <c r="E10" s="2" t="str">
        <f>IFERROR(__xludf.DUMMYFUNCTION("""COMPUTED_VALUE"""),"Yes")</f>
        <v>Yes</v>
      </c>
      <c r="F10" s="2" t="str">
        <f>IFERROR(__xludf.DUMMYFUNCTION("""COMPUTED_VALUE"""),"Yes")</f>
        <v>Yes</v>
      </c>
      <c r="G10" s="2">
        <f>IFERROR(__xludf.DUMMYFUNCTION("""COMPUTED_VALUE"""),0.5)</f>
        <v>0.5</v>
      </c>
      <c r="H10" s="2">
        <f>IFERROR(__xludf.DUMMYFUNCTION("""COMPUTED_VALUE"""),0.5)</f>
        <v>0.5</v>
      </c>
      <c r="I10" s="2">
        <f>IFERROR(__xludf.DUMMYFUNCTION("""COMPUTED_VALUE"""),1.0)</f>
        <v>1</v>
      </c>
      <c r="J10" s="2">
        <f>IFERROR(__xludf.DUMMYFUNCTION("""COMPUTED_VALUE"""),0.5)</f>
        <v>0.5</v>
      </c>
      <c r="K10" s="2" t="str">
        <f>IFERROR(__xludf.DUMMYFUNCTION("""COMPUTED_VALUE"""),"4– Usable, minor flaws Minor background noise.")</f>
        <v>4– Usable, minor flaws Minor background noise.</v>
      </c>
      <c r="L10" s="2" t="str">
        <f>IFERROR(__xludf.DUMMYFUNCTION("""COMPUTED_VALUE"""),"No")</f>
        <v>No</v>
      </c>
    </row>
    <row r="11">
      <c r="A11" s="2" t="str">
        <f>IFERROR(__xludf.DUMMYFUNCTION("""COMPUTED_VALUE"""),"collect\read\YouTube\Bangladesh Television (BTV)\__yFg8a8Zb4\2e92e8dd-747f-4132-840d-53d505fed6a5.flac")</f>
        <v>collect\read\YouTube\Bangladesh Television (BTV)\__yFg8a8Zb4\2e92e8dd-747f-4132-840d-53d505fed6a5.flac</v>
      </c>
      <c r="B11" s="2">
        <f>IFERROR(__xludf.DUMMYFUNCTION("""COMPUTED_VALUE"""),30.0)</f>
        <v>30</v>
      </c>
      <c r="C11" s="2" t="str">
        <f>IFERROR(__xludf.DUMMYFUNCTION("""COMPUTED_VALUE"""),"মানে রিসেন্টকে রিট্রেক্ট করতে হয়েছে তাদের এ বিশ্ব সংস্থা থেকে বলেছে যে এই পিতাগুলো তারা ফিরিয়ে নিত এখন এই যে তারা রিস্ট নিল ধনী দেশগুলো বা উন্নত দেশগুলো যে রিস্ট নিল এটাকে তো তারা তাদের তো এটা রাইট আছে আমি আমি এই পাঁচ প্রেক্রিট থেকে দেখতে চাই যে তাদের অবশ"&amp;"্যই রাইট আছে ডিফিশান নেয়া যে তারা এটাকে কি করবে কি ড সদ্দিকে এখন রিশ্বে যখন মহামারী ছড়ে যায়েই তখন সরশিষ্ট নাগরিকত্ সকলেরই অধিকার আছে তার জীবন বাঁচানোর")</f>
        <v>মানে রিসেন্টকে রিট্রেক্ট করতে হয়েছে তাদের এ বিশ্ব সংস্থা থেকে বলেছে যে এই পিতাগুলো তারা ফিরিয়ে নিত এখন এই যে তারা রিস্ট নিল ধনী দেশগুলো বা উন্নত দেশগুলো যে রিস্ট নিল এটাকে তো তারা তাদের তো এটা রাইট আছে আমি আমি এই পাঁচ প্রেক্রিট থেকে দেখতে চাই যে তাদের অবশ্যই রাইট আছে ডিফিশান নেয়া যে তারা এটাকে কি করবে কি ড সদ্দিকে এখন রিশ্বে যখন মহামারী ছড়ে যায়েই তখন সরশিষ্ট নাগরিকত্ সকলেরই অধিকার আছে তার জীবন বাঁচানোর</v>
      </c>
      <c r="D11" s="2" t="str">
        <f>IFERROR(__xludf.DUMMYFUNCTION("""COMPUTED_VALUE"""),"No")</f>
        <v>No</v>
      </c>
      <c r="E11" s="2" t="str">
        <f>IFERROR(__xludf.DUMMYFUNCTION("""COMPUTED_VALUE"""),"Yes")</f>
        <v>Yes</v>
      </c>
      <c r="F11" s="2" t="str">
        <f>IFERROR(__xludf.DUMMYFUNCTION("""COMPUTED_VALUE"""),"Yes")</f>
        <v>Yes</v>
      </c>
      <c r="G11" s="2">
        <f>IFERROR(__xludf.DUMMYFUNCTION("""COMPUTED_VALUE"""),0.5)</f>
        <v>0.5</v>
      </c>
      <c r="H11" s="2">
        <f>IFERROR(__xludf.DUMMYFUNCTION("""COMPUTED_VALUE"""),0.5)</f>
        <v>0.5</v>
      </c>
      <c r="I11" s="2">
        <f>IFERROR(__xludf.DUMMYFUNCTION("""COMPUTED_VALUE"""),0.5)</f>
        <v>0.5</v>
      </c>
      <c r="J11" s="2">
        <f>IFERROR(__xludf.DUMMYFUNCTION("""COMPUTED_VALUE"""),0.5)</f>
        <v>0.5</v>
      </c>
      <c r="K11" s="2" t="str">
        <f>IFERROR(__xludf.DUMMYFUNCTION("""COMPUTED_VALUE"""),"4– Usable, minor flaws Minor background noise.")</f>
        <v>4– Usable, minor flaws Minor background noise.</v>
      </c>
      <c r="L11" s="2" t="str">
        <f>IFERROR(__xludf.DUMMYFUNCTION("""COMPUTED_VALUE"""),"No")</f>
        <v>No</v>
      </c>
    </row>
    <row r="12">
      <c r="A12" s="2" t="str">
        <f>IFERROR(__xludf.DUMMYFUNCTION("""COMPUTED_VALUE"""),"collect\read\YouTube\Bangladesh Television (BTV)\__yFg8a8Zb4\2e9f155a-24ef-4f76-b008-33dcfeeca3e4.flac")</f>
        <v>collect\read\YouTube\Bangladesh Television (BTV)\__yFg8a8Zb4\2e9f155a-24ef-4f76-b008-33dcfeeca3e4.flac</v>
      </c>
      <c r="B12" s="2">
        <f>IFERROR(__xludf.DUMMYFUNCTION("""COMPUTED_VALUE"""),30.0)</f>
        <v>30</v>
      </c>
      <c r="C12" s="2" t="str">
        <f>IFERROR(__xludf.DUMMYFUNCTION("""COMPUTED_VALUE"""),"আইনকে ছাড় দিতে হবে এবং কারিগরি যে জ্ঞান সেই জ্ঞানকে আমাদের সবার কাজে লাগাতে হবে এবং তাহলে বাংলাদেশ ভ্যাকসিন উৎপাদনে অবশ্য সক্ষম একটি জাতি এটা কোনো মালিকানা থাকতে পারবে না এখন জুইসেভেন্ড মক্ত দেশগুলোর নেতৃবৃন্দ কন্তু তার সুরে সু মুলাচ্ছেন পতিক কিন্তু দুঃখক"&amp;"োন ঘটনা ডক্তার মাহবুব সিদ্দিকীও বলবেন প্রফেসর রহমানে বলবেন যে সারা পৃথিবীতে এখনো পর্যন্ত মাত্র তেরো শতাংশ কি চৌদ্দ শতাংশ")</f>
        <v>আইনকে ছাড় দিতে হবে এবং কারিগরি যে জ্ঞান সেই জ্ঞানকে আমাদের সবার কাজে লাগাতে হবে এবং তাহলে বাংলাদেশ ভ্যাকসিন উৎপাদনে অবশ্য সক্ষম একটি জাতি এটা কোনো মালিকানা থাকতে পারবে না এখন জুইসেভেন্ড মক্ত দেশগুলোর নেতৃবৃন্দ কন্তু তার সুরে সু মুলাচ্ছেন পতিক কিন্তু দুঃখকোন ঘটনা ডক্তার মাহবুব সিদ্দিকীও বলবেন প্রফেসর রহমানে বলবেন যে সারা পৃথিবীতে এখনো পর্যন্ত মাত্র তেরো শতাংশ কি চৌদ্দ শতাংশ</v>
      </c>
      <c r="D12" s="2" t="str">
        <f>IFERROR(__xludf.DUMMYFUNCTION("""COMPUTED_VALUE"""),"No")</f>
        <v>No</v>
      </c>
      <c r="E12" s="2" t="str">
        <f>IFERROR(__xludf.DUMMYFUNCTION("""COMPUTED_VALUE"""),"Yes")</f>
        <v>Yes</v>
      </c>
      <c r="F12" s="2" t="str">
        <f>IFERROR(__xludf.DUMMYFUNCTION("""COMPUTED_VALUE"""),"Yes")</f>
        <v>Yes</v>
      </c>
      <c r="G12" s="2">
        <f>IFERROR(__xludf.DUMMYFUNCTION("""COMPUTED_VALUE"""),0.5)</f>
        <v>0.5</v>
      </c>
      <c r="H12" s="2">
        <f>IFERROR(__xludf.DUMMYFUNCTION("""COMPUTED_VALUE"""),0.5)</f>
        <v>0.5</v>
      </c>
      <c r="I12" s="2">
        <f>IFERROR(__xludf.DUMMYFUNCTION("""COMPUTED_VALUE"""),0.5)</f>
        <v>0.5</v>
      </c>
      <c r="J12" s="2">
        <f>IFERROR(__xludf.DUMMYFUNCTION("""COMPUTED_VALUE"""),0.5)</f>
        <v>0.5</v>
      </c>
      <c r="K12" s="2" t="str">
        <f>IFERROR(__xludf.DUMMYFUNCTION("""COMPUTED_VALUE"""),"4– Usable, minor flaws Minor background noise.")</f>
        <v>4– Usable, minor flaws Minor background noise.</v>
      </c>
      <c r="L12" s="2" t="str">
        <f>IFERROR(__xludf.DUMMYFUNCTION("""COMPUTED_VALUE"""),"No")</f>
        <v>No</v>
      </c>
    </row>
    <row r="13">
      <c r="A13" s="2" t="str">
        <f>IFERROR(__xludf.DUMMYFUNCTION("""COMPUTED_VALUE"""),"collect\read\YouTube\Bangladesh Television (BTV)\__yFg8a8Zb4\30ddb972-c5ef-4017-b585-0d0ba7e59950.flac")</f>
        <v>collect\read\YouTube\Bangladesh Television (BTV)\__yFg8a8Zb4\30ddb972-c5ef-4017-b585-0d0ba7e59950.flac</v>
      </c>
      <c r="B13" s="2">
        <f>IFERROR(__xludf.DUMMYFUNCTION("""COMPUTED_VALUE"""),30.0)</f>
        <v>30</v>
      </c>
      <c r="C13" s="2" t="str">
        <f>IFERROR(__xludf.DUMMYFUNCTION("""COMPUTED_VALUE"""),"এই কে মেতা পৃথিবী যেখানে যাই হোক না কেন এখানে ওই সবগুলো রোহিত করে পৃথিবীর সবাই যাতে বেঁচে থাকার ব্যাপারে এখানে ওইজ কোন বিপ্রণছি একজম হিউম্যানিস্টিক ভিউ থেকে আমি এটা টরম বিরুদ্ধী এবং যেটা বলছেন সেটা একদম এটা যাতে সারা পৃথিবীর মানুষ এই জিনিসটা এই অবস্থায় যা"&amp;"তে আপনাকে অসকে ধন্যবাদ আে ধন্যবাদ আইতো প্রথান মুক্তি করেছে")</f>
        <v>এই কে মেতা পৃথিবী যেখানে যাই হোক না কেন এখানে ওই সবগুলো রোহিত করে পৃথিবীর সবাই যাতে বেঁচে থাকার ব্যাপারে এখানে ওইজ কোন বিপ্রণছি একজম হিউম্যানিস্টিক ভিউ থেকে আমি এটা টরম বিরুদ্ধী এবং যেটা বলছেন সেটা একদম এটা যাতে সারা পৃথিবীর মানুষ এই জিনিসটা এই অবস্থায় যাতে আপনাকে অসকে ধন্যবাদ আে ধন্যবাদ আইতো প্রথান মুক্তি করেছে</v>
      </c>
      <c r="D13" s="2" t="str">
        <f>IFERROR(__xludf.DUMMYFUNCTION("""COMPUTED_VALUE"""),"No")</f>
        <v>No</v>
      </c>
      <c r="E13" s="2" t="str">
        <f>IFERROR(__xludf.DUMMYFUNCTION("""COMPUTED_VALUE"""),"Yes")</f>
        <v>Yes</v>
      </c>
      <c r="F13" s="2" t="str">
        <f>IFERROR(__xludf.DUMMYFUNCTION("""COMPUTED_VALUE"""),"Yes")</f>
        <v>Yes</v>
      </c>
      <c r="G13" s="2">
        <f>IFERROR(__xludf.DUMMYFUNCTION("""COMPUTED_VALUE"""),0.5)</f>
        <v>0.5</v>
      </c>
      <c r="H13" s="2">
        <f>IFERROR(__xludf.DUMMYFUNCTION("""COMPUTED_VALUE"""),0.5)</f>
        <v>0.5</v>
      </c>
      <c r="I13" s="2">
        <f>IFERROR(__xludf.DUMMYFUNCTION("""COMPUTED_VALUE"""),0.5)</f>
        <v>0.5</v>
      </c>
      <c r="J13" s="2">
        <f>IFERROR(__xludf.DUMMYFUNCTION("""COMPUTED_VALUE"""),0.5)</f>
        <v>0.5</v>
      </c>
      <c r="K13" s="2" t="str">
        <f>IFERROR(__xludf.DUMMYFUNCTION("""COMPUTED_VALUE"""),"4– Usable, minor flaws Minor background noise.")</f>
        <v>4– Usable, minor flaws Minor background noise.</v>
      </c>
      <c r="L13" s="2" t="str">
        <f>IFERROR(__xludf.DUMMYFUNCTION("""COMPUTED_VALUE"""),"No")</f>
        <v>No</v>
      </c>
    </row>
    <row r="14">
      <c r="A14" s="2" t="str">
        <f>IFERROR(__xludf.DUMMYFUNCTION("""COMPUTED_VALUE"""),"collect\read\YouTube\Bangladesh Television (BTV)\__yFg8a8Zb4\33e4dee4-015c-40f8-9b56-1a03d2b290ac.flac")</f>
        <v>collect\read\YouTube\Bangladesh Television (BTV)\__yFg8a8Zb4\33e4dee4-015c-40f8-9b56-1a03d2b290ac.flac</v>
      </c>
      <c r="B14" s="2">
        <f>IFERROR(__xludf.DUMMYFUNCTION("""COMPUTED_VALUE"""),30.0)</f>
        <v>30</v>
      </c>
      <c r="C14" s="2" t="str">
        <f>IFERROR(__xludf.DUMMYFUNCTION("""COMPUTED_VALUE"""),"আপনার খেয়াল আছে নিশ্চয়ই বা দেশকয়েছে নিশ্চয়ই জানি যে যে ডায়রিয়ার ওষুধ ওষুধ হিসেবে আমরা খাবার স্যালাইন খাওয়ানো এবং সিমপলি টয়লেট করার পরে হাত ধোয়া এই জিনিসটা শেখাতে কিন্তু আমাদের রাষ্ট্রযন্ত্র যতটুকু আছে মিডিয়ার পুরো সবসমন্বিত উদ্যোগ নিয়েও কিন্তু আমাদের প্রা"&amp;"য় এক দুই দশক লেগে গিয়েছে এই এই জিনিসটা মানুষকে বোঝাতে যে টয়লেটের পরে হাত ধুতে হয় সেই জায়গায় যে যখন কেমি পিপায়ার ছিল না সেখানে হঠাৎ করে করোনার মতো একটা পেন্ডেমিক আসলো হয়তো এর")</f>
        <v>আপনার খেয়াল আছে নিশ্চয়ই বা দেশকয়েছে নিশ্চয়ই জানি যে যে ডায়রিয়ার ওষুধ ওষুধ হিসেবে আমরা খাবার স্যালাইন খাওয়ানো এবং সিমপলি টয়লেট করার পরে হাত ধোয়া এই জিনিসটা শেখাতে কিন্তু আমাদের রাষ্ট্রযন্ত্র যতটুকু আছে মিডিয়ার পুরো সবসমন্বিত উদ্যোগ নিয়েও কিন্তু আমাদের প্রায় এক দুই দশক লেগে গিয়েছে এই এই জিনিসটা মানুষকে বোঝাতে যে টয়লেটের পরে হাত ধুতে হয় সেই জায়গায় যে যখন কেমি পিপায়ার ছিল না সেখানে হঠাৎ করে করোনার মতো একটা পেন্ডেমিক আসলো হয়তো এর</v>
      </c>
      <c r="D14" s="2" t="str">
        <f>IFERROR(__xludf.DUMMYFUNCTION("""COMPUTED_VALUE"""),"No")</f>
        <v>No</v>
      </c>
      <c r="E14" s="2" t="str">
        <f>IFERROR(__xludf.DUMMYFUNCTION("""COMPUTED_VALUE"""),"Yes")</f>
        <v>Yes</v>
      </c>
      <c r="F14" s="2" t="str">
        <f>IFERROR(__xludf.DUMMYFUNCTION("""COMPUTED_VALUE"""),"Yes")</f>
        <v>Yes</v>
      </c>
      <c r="G14" s="2">
        <f>IFERROR(__xludf.DUMMYFUNCTION("""COMPUTED_VALUE"""),0.5)</f>
        <v>0.5</v>
      </c>
      <c r="H14" s="2">
        <f>IFERROR(__xludf.DUMMYFUNCTION("""COMPUTED_VALUE"""),0.5)</f>
        <v>0.5</v>
      </c>
      <c r="I14" s="2">
        <f>IFERROR(__xludf.DUMMYFUNCTION("""COMPUTED_VALUE"""),0.5)</f>
        <v>0.5</v>
      </c>
      <c r="J14" s="2">
        <f>IFERROR(__xludf.DUMMYFUNCTION("""COMPUTED_VALUE"""),0.5)</f>
        <v>0.5</v>
      </c>
      <c r="K14" s="2" t="str">
        <f>IFERROR(__xludf.DUMMYFUNCTION("""COMPUTED_VALUE"""),"4– Usable, minor flaws Minor background noise.")</f>
        <v>4– Usable, minor flaws Minor background noise.</v>
      </c>
      <c r="L14" s="2" t="str">
        <f>IFERROR(__xludf.DUMMYFUNCTION("""COMPUTED_VALUE"""),"No")</f>
        <v>No</v>
      </c>
    </row>
    <row r="15">
      <c r="A15" s="2" t="str">
        <f>IFERROR(__xludf.DUMMYFUNCTION("""COMPUTED_VALUE"""),"collect\read\YouTube\Bangladesh Television (BTV)\__yFg8a8Zb4\3691c46f-2183-4896-afef-5252e1be60a6.flac")</f>
        <v>collect\read\YouTube\Bangladesh Television (BTV)\__yFg8a8Zb4\3691c46f-2183-4896-afef-5252e1be60a6.flac</v>
      </c>
      <c r="B15" s="2">
        <f>IFERROR(__xludf.DUMMYFUNCTION("""COMPUTED_VALUE"""),30.0)</f>
        <v>30</v>
      </c>
      <c r="C15" s="2" t="str">
        <f>IFERROR(__xludf.DUMMYFUNCTION("""COMPUTED_VALUE"""),"ব্যাপারে আপনার বিশ্বেষণটে কি আমরা কেন পারছি না এই দুরত্ব বিধিমানা কিংবা সং্গনিরধ বাস্তবায়ন করা ইটোয়া ব্যা পারে আপনার অভিমতটা কি একজন অণুজীব বিজ্ঞানী হিসেবে জি থ্যাংক ইউ আমাকে কি শোনা যাচ্ছে এখন আছে ঠিক আছে ধন্যবাদ তার প্রথম কথা হচ্ছে যে আমাদের দেশের যে চ্"&amp;"যালেঞ্জ স্বাস্থ্য ব্যবস্থার যে মানে পলিসিগুলো আছে এগলে ইমপ্লিমেন্টেশনটা কিন্তু আমাদের চেয়ে চ্যালেঞ্জটা একটু রিফ্রেন্ টাইপে যেমন আপনি খেয়াল করে দেখবেন যে বাংলাদেশ")</f>
        <v>ব্যাপারে আপনার বিশ্বেষণটে কি আমরা কেন পারছি না এই দুরত্ব বিধিমানা কিংবা সং্গনিরধ বাস্তবায়ন করা ইটোয়া ব্যা পারে আপনার অভিমতটা কি একজন অণুজীব বিজ্ঞানী হিসেবে জি থ্যাংক ইউ আমাকে কি শোনা যাচ্ছে এখন আছে ঠিক আছে ধন্যবাদ তার প্রথম কথা হচ্ছে যে আমাদের দেশের যে চ্যালেঞ্জ স্বাস্থ্য ব্যবস্থার যে মানে পলিসিগুলো আছে এগলে ইমপ্লিমেন্টেশনটা কিন্তু আমাদের চেয়ে চ্যালেঞ্জটা একটু রিফ্রেন্ টাইপে যেমন আপনি খেয়াল করে দেখবেন যে বাংলাদেশ</v>
      </c>
      <c r="D15" s="2" t="str">
        <f>IFERROR(__xludf.DUMMYFUNCTION("""COMPUTED_VALUE"""),"No")</f>
        <v>No</v>
      </c>
      <c r="E15" s="2" t="str">
        <f>IFERROR(__xludf.DUMMYFUNCTION("""COMPUTED_VALUE"""),"Yes")</f>
        <v>Yes</v>
      </c>
      <c r="F15" s="2" t="str">
        <f>IFERROR(__xludf.DUMMYFUNCTION("""COMPUTED_VALUE"""),"Yes")</f>
        <v>Yes</v>
      </c>
      <c r="G15" s="2">
        <f>IFERROR(__xludf.DUMMYFUNCTION("""COMPUTED_VALUE"""),0.5)</f>
        <v>0.5</v>
      </c>
      <c r="H15" s="2">
        <f>IFERROR(__xludf.DUMMYFUNCTION("""COMPUTED_VALUE"""),0.5)</f>
        <v>0.5</v>
      </c>
      <c r="I15" s="2">
        <f>IFERROR(__xludf.DUMMYFUNCTION("""COMPUTED_VALUE"""),1.0)</f>
        <v>1</v>
      </c>
      <c r="J15" s="2">
        <f>IFERROR(__xludf.DUMMYFUNCTION("""COMPUTED_VALUE"""),0.5)</f>
        <v>0.5</v>
      </c>
      <c r="K15" s="2" t="str">
        <f>IFERROR(__xludf.DUMMYFUNCTION("""COMPUTED_VALUE"""),"4– Usable, minor flaws Minor background noise.")</f>
        <v>4– Usable, minor flaws Minor background noise.</v>
      </c>
      <c r="L15" s="2" t="str">
        <f>IFERROR(__xludf.DUMMYFUNCTION("""COMPUTED_VALUE"""),"No")</f>
        <v>No</v>
      </c>
    </row>
    <row r="16">
      <c r="A16" s="2" t="str">
        <f>IFERROR(__xludf.DUMMYFUNCTION("""COMPUTED_VALUE"""),"collect\read\YouTube\Bangladesh Television (BTV)\__yFg8a8Zb4\37038c53-54e3-4e9b-a906-4418719f49a7.flac")</f>
        <v>collect\read\YouTube\Bangladesh Television (BTV)\__yFg8a8Zb4\37038c53-54e3-4e9b-a906-4418719f49a7.flac</v>
      </c>
      <c r="B16" s="2">
        <f>IFERROR(__xludf.DUMMYFUNCTION("""COMPUTED_VALUE"""),30.0)</f>
        <v>30</v>
      </c>
      <c r="C16" s="2" t="str">
        <f>IFERROR(__xludf.DUMMYFUNCTION("""COMPUTED_VALUE"""),"ব বারবার মনুর পর্তমান বলেছেন এক্সিলিচিয়ান প্রিটমেন্ট বা জাট সুটি হোক না কেন আমরা যে বিধিবিধান আছে আমরা যাতে আত্মলিতে না ভুলি যাতে ওই জ আমাদেরকে নিজেকে প্রোটেট করায় সমাজকে প্রটেট করা যে বিটিনিজ ক দিয়ে দিয়ে দেখিয় দিয়েছেন আর কত্য দেখা বেসেগুলো যাতে আমরা মেনে"&amp;" চরি মাস্ক ফর দু নবাদ দোয়া ধনা আমি একজন সিনিয়র ফার্মাসিস্ট")</f>
        <v>ব বারবার মনুর পর্তমান বলেছেন এক্সিলিচিয়ান প্রিটমেন্ট বা জাট সুটি হোক না কেন আমরা যে বিধিবিধান আছে আমরা যাতে আত্মলিতে না ভুলি যাতে ওই জ আমাদেরকে নিজেকে প্রোটেট করায় সমাজকে প্রটেট করা যে বিটিনিজ ক দিয়ে দিয়ে দেখিয় দিয়েছেন আর কত্য দেখা বেসেগুলো যাতে আমরা মেনে চরি মাস্ক ফর দু নবাদ দোয়া ধনা আমি একজন সিনিয়র ফার্মাসিস্ট</v>
      </c>
      <c r="D16" s="2" t="str">
        <f>IFERROR(__xludf.DUMMYFUNCTION("""COMPUTED_VALUE"""),"No")</f>
        <v>No</v>
      </c>
      <c r="E16" s="2" t="str">
        <f>IFERROR(__xludf.DUMMYFUNCTION("""COMPUTED_VALUE"""),"No")</f>
        <v>No</v>
      </c>
      <c r="F16" s="2" t="str">
        <f>IFERROR(__xludf.DUMMYFUNCTION("""COMPUTED_VALUE"""),"No")</f>
        <v>No</v>
      </c>
      <c r="G16" s="2">
        <f>IFERROR(__xludf.DUMMYFUNCTION("""COMPUTED_VALUE"""),0.0)</f>
        <v>0</v>
      </c>
      <c r="H16" s="2">
        <f>IFERROR(__xludf.DUMMYFUNCTION("""COMPUTED_VALUE"""),0.5)</f>
        <v>0.5</v>
      </c>
      <c r="I16" s="2">
        <f>IFERROR(__xludf.DUMMYFUNCTION("""COMPUTED_VALUE"""),0.5)</f>
        <v>0.5</v>
      </c>
      <c r="J16" s="2">
        <f>IFERROR(__xludf.DUMMYFUNCTION("""COMPUTED_VALUE"""),0.5)</f>
        <v>0.5</v>
      </c>
      <c r="K16" s="2" t="str">
        <f>IFERROR(__xludf.DUMMYFUNCTION("""COMPUTED_VALUE"""),"4– Usable, minor flaws Minor background noise.")</f>
        <v>4– Usable, minor flaws Minor background noise.</v>
      </c>
      <c r="L16" s="2" t="str">
        <f>IFERROR(__xludf.DUMMYFUNCTION("""COMPUTED_VALUE"""),"No")</f>
        <v>No</v>
      </c>
    </row>
    <row r="17">
      <c r="A17" s="2" t="str">
        <f>IFERROR(__xludf.DUMMYFUNCTION("""COMPUTED_VALUE"""),"collect\read\YouTube\Bangladesh Television (BTV)\__yFg8a8Zb4\3b976163-381e-449c-871c-17ea92ada33d.flac")</f>
        <v>collect\read\YouTube\Bangladesh Television (BTV)\__yFg8a8Zb4\3b976163-381e-449c-871c-17ea92ada33d.flac</v>
      </c>
      <c r="B17" s="2">
        <f>IFERROR(__xludf.DUMMYFUNCTION("""COMPUTED_VALUE"""),30.0)</f>
        <v>30</v>
      </c>
      <c r="C17" s="2" t="str">
        <f>IFERROR(__xludf.DUMMYFUNCTION("""COMPUTED_VALUE"""),"কেউ হললে অল ফর হেম এভরি ওয়ান এবনি সোসাইটি এমনি সব সমাজের সবাই একটা চিলিৎ কাজ করতে হবে সেটা এবার করোনায় আমি এই জায়গাটায় আপনাকে একটু থামিয়ে ডাক্তার সিদ্দিকীর কাছে আসতে চায় কাজ সিদ্দিকী অফেসর ইসমাইল খান যেখানে শেষ করলেন এই সবার জন্য স্বাস্থ্য যে প্রেক্ষাপটটা"&amp;" তুলে ধরলেন এবং পরবর্তীতে তিনি যে বললেন এসকে সমন্বিত ব্যবস্থাপনা কথা বললেন")</f>
        <v>কেউ হললে অল ফর হেম এভরি ওয়ান এবনি সোসাইটি এমনি সব সমাজের সবাই একটা চিলিৎ কাজ করতে হবে সেটা এবার করোনায় আমি এই জায়গাটায় আপনাকে একটু থামিয়ে ডাক্তার সিদ্দিকীর কাছে আসতে চায় কাজ সিদ্দিকী অফেসর ইসমাইল খান যেখানে শেষ করলেন এই সবার জন্য স্বাস্থ্য যে প্রেক্ষাপটটা তুলে ধরলেন এবং পরবর্তীতে তিনি যে বললেন এসকে সমন্বিত ব্যবস্থাপনা কথা বললেন</v>
      </c>
      <c r="D17" s="2" t="str">
        <f>IFERROR(__xludf.DUMMYFUNCTION("""COMPUTED_VALUE"""),"No")</f>
        <v>No</v>
      </c>
      <c r="E17" s="2" t="str">
        <f>IFERROR(__xludf.DUMMYFUNCTION("""COMPUTED_VALUE"""),"No")</f>
        <v>No</v>
      </c>
      <c r="F17" s="2" t="str">
        <f>IFERROR(__xludf.DUMMYFUNCTION("""COMPUTED_VALUE"""),"No")</f>
        <v>No</v>
      </c>
      <c r="G17" s="2">
        <f>IFERROR(__xludf.DUMMYFUNCTION("""COMPUTED_VALUE"""),0.5)</f>
        <v>0.5</v>
      </c>
      <c r="H17" s="2">
        <f>IFERROR(__xludf.DUMMYFUNCTION("""COMPUTED_VALUE"""),0.5)</f>
        <v>0.5</v>
      </c>
      <c r="I17" s="2">
        <f>IFERROR(__xludf.DUMMYFUNCTION("""COMPUTED_VALUE"""),1.0)</f>
        <v>1</v>
      </c>
      <c r="J17" s="2">
        <f>IFERROR(__xludf.DUMMYFUNCTION("""COMPUTED_VALUE"""),0.5)</f>
        <v>0.5</v>
      </c>
      <c r="K17" s="2" t="str">
        <f>IFERROR(__xludf.DUMMYFUNCTION("""COMPUTED_VALUE"""),"4– Usable, minor flaws Minor background noise.")</f>
        <v>4– Usable, minor flaws Minor background noise.</v>
      </c>
      <c r="L17" s="2" t="str">
        <f>IFERROR(__xludf.DUMMYFUNCTION("""COMPUTED_VALUE"""),"No")</f>
        <v>No</v>
      </c>
    </row>
    <row r="18">
      <c r="A18" s="2" t="str">
        <f>IFERROR(__xludf.DUMMYFUNCTION("""COMPUTED_VALUE"""),"collect\read\YouTube\Bangladesh Television (BTV)\__yFg8a8Zb4\4292f9e9-1abf-437c-a34f-63e512e34e6a.flac")</f>
        <v>collect\read\YouTube\Bangladesh Television (BTV)\__yFg8a8Zb4\4292f9e9-1abf-437c-a34f-63e512e34e6a.flac</v>
      </c>
      <c r="B18" s="2">
        <f>IFERROR(__xludf.DUMMYFUNCTION("""COMPUTED_VALUE"""),30.0)</f>
        <v>30</v>
      </c>
      <c r="C18" s="2" t="str">
        <f>IFERROR(__xludf.DUMMYFUNCTION("""COMPUTED_VALUE"""),"ফ্রিয়েন্ট ছড়িয়ে থাকে যেটার ইনফেকটিভিটি অত বেশি না সেক্ষেত্রে কিন্তু এই এই বিষয়টা হতে পারে কিন্তু এক সপ্তা আছে আমি একটা একটা বিষয় আপটার কাছে উঠবে উপস্থাপন করে যাই পরে নিশ্চয়ই ব্যাখ্যায় আসবো আমরা গত এক সপ্তাহ আগে চাঁপাইনবাবগঞ্জে যে সংক্রমণের হার ছিল সেটা কি"&amp;"ন্তু গত পরশু আমার কমে এসেছে মানে এগুলোর অনেকগুলো পর্যবেক্ষণ আছে অধ্যাপনকে ইসমাইল খান নিশ্চয় আপনি ডক্তার মাবুদ সিদ্দিকীর কথাগুলো শুনছি লেম আমার সথে আমারও বলি")</f>
        <v>ফ্রিয়েন্ট ছড়িয়ে থাকে যেটার ইনফেকটিভিটি অত বেশি না সেক্ষেত্রে কিন্তু এই এই বিষয়টা হতে পারে কিন্তু এক সপ্তা আছে আমি একটা একটা বিষয় আপটার কাছে উঠবে উপস্থাপন করে যাই পরে নিশ্চয়ই ব্যাখ্যায় আসবো আমরা গত এক সপ্তাহ আগে চাঁপাইনবাবগঞ্জে যে সংক্রমণের হার ছিল সেটা কিন্তু গত পরশু আমার কমে এসেছে মানে এগুলোর অনেকগুলো পর্যবেক্ষণ আছে অধ্যাপনকে ইসমাইল খান নিশ্চয় আপনি ডক্তার মাবুদ সিদ্দিকীর কথাগুলো শুনছি লেম আমার সথে আমারও বলি</v>
      </c>
      <c r="D18" s="2" t="str">
        <f>IFERROR(__xludf.DUMMYFUNCTION("""COMPUTED_VALUE"""),"No")</f>
        <v>No</v>
      </c>
      <c r="E18" s="2" t="str">
        <f>IFERROR(__xludf.DUMMYFUNCTION("""COMPUTED_VALUE"""),"No")</f>
        <v>No</v>
      </c>
      <c r="F18" s="2" t="str">
        <f>IFERROR(__xludf.DUMMYFUNCTION("""COMPUTED_VALUE"""),"Yes")</f>
        <v>Yes</v>
      </c>
      <c r="G18" s="2">
        <f>IFERROR(__xludf.DUMMYFUNCTION("""COMPUTED_VALUE"""),0.5)</f>
        <v>0.5</v>
      </c>
      <c r="H18" s="2">
        <f>IFERROR(__xludf.DUMMYFUNCTION("""COMPUTED_VALUE"""),0.5)</f>
        <v>0.5</v>
      </c>
      <c r="I18" s="2">
        <f>IFERROR(__xludf.DUMMYFUNCTION("""COMPUTED_VALUE"""),0.0)</f>
        <v>0</v>
      </c>
      <c r="J18" s="2">
        <f>IFERROR(__xludf.DUMMYFUNCTION("""COMPUTED_VALUE"""),0.5)</f>
        <v>0.5</v>
      </c>
      <c r="K18" s="2" t="str">
        <f>IFERROR(__xludf.DUMMYFUNCTION("""COMPUTED_VALUE"""),"4– Usable, minor flaws Minor background noise.")</f>
        <v>4– Usable, minor flaws Minor background noise.</v>
      </c>
      <c r="L18" s="2" t="str">
        <f>IFERROR(__xludf.DUMMYFUNCTION("""COMPUTED_VALUE"""),"No")</f>
        <v>No</v>
      </c>
    </row>
    <row r="19">
      <c r="A19" s="2" t="str">
        <f>IFERROR(__xludf.DUMMYFUNCTION("""COMPUTED_VALUE"""),"collect\read\YouTube\Bangladesh Television (BTV)\__yFg8a8Zb4\42df9076-0a40-4d05-a70b-d94d21698972.flac")</f>
        <v>collect\read\YouTube\Bangladesh Television (BTV)\__yFg8a8Zb4\42df9076-0a40-4d05-a70b-d94d21698972.flac</v>
      </c>
      <c r="B19" s="2">
        <f>IFERROR(__xludf.DUMMYFUNCTION("""COMPUTED_VALUE"""),30.0)</f>
        <v>30</v>
      </c>
      <c r="C19" s="2" t="str">
        <f>IFERROR(__xludf.DUMMYFUNCTION("""COMPUTED_VALUE"""),"কাটেরিয়ার বিসিসে টেস্ট করছেন আমার মনে হয় ছে এটা একটা কালচারাল আস্পেক্ট আছে পর ইসেপল কোনো একটা এলাকার মধ্যে যদি অনেক সময় আমরা জানি যে রুমার অথবা হুলো প্যানিক বলেন যাই কিছু বলেন না কেন এই জিনিসগুলো যখন ছড়িয়ে যায় তখন কিন্তু দলে দলে ঝাঁকে ঝাঁকে সব মানুষ হয়তো "&amp;"আতঙ্কিত হয়ে পড়ে আমরা জানি যে এই সময়টা কিন্তু সিজন অফ ফ্লুয়েরো সিজন ততেব আপনি খেয়াল করে দেখবেন যে শুধু যে জানা টেস্ট করাচ্ছে তাদের শুধু যে করোনা আর করোনায় পাওয়া যাচ্ছে তা না করোনা ছাড়া অনেক আপনার সংক্রমণ ভাইরাসও কিন্তু আছে তো সেই ক্ষেত্রে কোন একটা এলাকার ম"&amp;"ধ্যে")</f>
        <v>কাটেরিয়ার বিসিসে টেস্ট করছেন আমার মনে হয় ছে এটা একটা কালচারাল আস্পেক্ট আছে পর ইসেপল কোনো একটা এলাকার মধ্যে যদি অনেক সময় আমরা জানি যে রুমার অথবা হুলো প্যানিক বলেন যাই কিছু বলেন না কেন এই জিনিসগুলো যখন ছড়িয়ে যায় তখন কিন্তু দলে দলে ঝাঁকে ঝাঁকে সব মানুষ হয়তো আতঙ্কিত হয়ে পড়ে আমরা জানি যে এই সময়টা কিন্তু সিজন অফ ফ্লুয়েরো সিজন ততেব আপনি খেয়াল করে দেখবেন যে শুধু যে জানা টেস্ট করাচ্ছে তাদের শুধু যে করোনা আর করোনায় পাওয়া যাচ্ছে তা না করোনা ছাড়া অনেক আপনার সংক্রমণ ভাইরাসও কিন্তু আছে তো সেই ক্ষেত্রে কোন একটা এলাকার মধ্যে</v>
      </c>
      <c r="D19" s="2" t="str">
        <f>IFERROR(__xludf.DUMMYFUNCTION("""COMPUTED_VALUE"""),"No")</f>
        <v>No</v>
      </c>
      <c r="E19" s="2" t="str">
        <f>IFERROR(__xludf.DUMMYFUNCTION("""COMPUTED_VALUE"""),"Yes")</f>
        <v>Yes</v>
      </c>
      <c r="F19" s="2" t="str">
        <f>IFERROR(__xludf.DUMMYFUNCTION("""COMPUTED_VALUE"""),"Yes")</f>
        <v>Yes</v>
      </c>
      <c r="G19" s="2">
        <f>IFERROR(__xludf.DUMMYFUNCTION("""COMPUTED_VALUE"""),0.5)</f>
        <v>0.5</v>
      </c>
      <c r="H19" s="2">
        <f>IFERROR(__xludf.DUMMYFUNCTION("""COMPUTED_VALUE"""),0.5)</f>
        <v>0.5</v>
      </c>
      <c r="I19" s="2">
        <f>IFERROR(__xludf.DUMMYFUNCTION("""COMPUTED_VALUE"""),0.5)</f>
        <v>0.5</v>
      </c>
      <c r="J19" s="2">
        <f>IFERROR(__xludf.DUMMYFUNCTION("""COMPUTED_VALUE"""),0.5)</f>
        <v>0.5</v>
      </c>
      <c r="K19" s="2" t="str">
        <f>IFERROR(__xludf.DUMMYFUNCTION("""COMPUTED_VALUE"""),"4– Usable, minor flaws Minor background noise.")</f>
        <v>4– Usable, minor flaws Minor background noise.</v>
      </c>
      <c r="L19" s="2" t="str">
        <f>IFERROR(__xludf.DUMMYFUNCTION("""COMPUTED_VALUE"""),"No")</f>
        <v>No</v>
      </c>
    </row>
    <row r="20">
      <c r="A20" s="2" t="str">
        <f>IFERROR(__xludf.DUMMYFUNCTION("""COMPUTED_VALUE"""),"collect\read\YouTube\Bangladesh Television (BTV)\__yFg8a8Zb4\45dcfbd7-6354-439e-9023-9587de8ce046.flac")</f>
        <v>collect\read\YouTube\Bangladesh Television (BTV)\__yFg8a8Zb4\45dcfbd7-6354-439e-9023-9587de8ce046.flac</v>
      </c>
      <c r="B20" s="2">
        <f>IFERROR(__xludf.DUMMYFUNCTION("""COMPUTED_VALUE"""),30.0)</f>
        <v>30</v>
      </c>
      <c r="C20" s="2" t="str">
        <f>IFERROR(__xludf.DUMMYFUNCTION("""COMPUTED_VALUE"""),"যে জেলাগুলি সেখানে আবার দেখা গেছে তো সেখানে আবার আমরা ব্যবস্থা নিচ্ছি কিন্তু আমি সবাইকে বলব যে আমাদের স্বাস্থ্য বিধিটার জন্য সকলে মেনে চলেন এটাই বাংলাদেশের সব মানুষের কাছে আমার একটা আহ্বান থাকবে আমরা জিকা দান থেকে শুরু করে সবরকম ব্যবস্থা আমরা নিচ্ছি তারপর"&amp;"ও নিজেরা সুরক্ষিত থাকতে হবে এটাই চাই অধ্যাপক ডাক্তার এসএম আব্দুর রহমান মাননীয় প্রধানমন্ত্রীর বক্তব্যের অংশটুকু আমরা দেখলাম")</f>
        <v>যে জেলাগুলি সেখানে আবার দেখা গেছে তো সেখানে আবার আমরা ব্যবস্থা নিচ্ছি কিন্তু আমি সবাইকে বলব যে আমাদের স্বাস্থ্য বিধিটার জন্য সকলে মেনে চলেন এটাই বাংলাদেশের সব মানুষের কাছে আমার একটা আহ্বান থাকবে আমরা জিকা দান থেকে শুরু করে সবরকম ব্যবস্থা আমরা নিচ্ছি তারপরও নিজেরা সুরক্ষিত থাকতে হবে এটাই চাই অধ্যাপক ডাক্তার এসএম আব্দুর রহমান মাননীয় প্রধানমন্ত্রীর বক্তব্যের অংশটুকু আমরা দেখলাম</v>
      </c>
      <c r="D20" s="2" t="str">
        <f>IFERROR(__xludf.DUMMYFUNCTION("""COMPUTED_VALUE"""),"No")</f>
        <v>No</v>
      </c>
      <c r="E20" s="2" t="str">
        <f>IFERROR(__xludf.DUMMYFUNCTION("""COMPUTED_VALUE"""),"No")</f>
        <v>No</v>
      </c>
      <c r="F20" s="2" t="str">
        <f>IFERROR(__xludf.DUMMYFUNCTION("""COMPUTED_VALUE"""),"Yes")</f>
        <v>Yes</v>
      </c>
      <c r="G20" s="2">
        <f>IFERROR(__xludf.DUMMYFUNCTION("""COMPUTED_VALUE"""),0.5)</f>
        <v>0.5</v>
      </c>
      <c r="H20" s="2">
        <f>IFERROR(__xludf.DUMMYFUNCTION("""COMPUTED_VALUE"""),0.5)</f>
        <v>0.5</v>
      </c>
      <c r="I20" s="2">
        <f>IFERROR(__xludf.DUMMYFUNCTION("""COMPUTED_VALUE"""),0.5)</f>
        <v>0.5</v>
      </c>
      <c r="J20" s="2">
        <f>IFERROR(__xludf.DUMMYFUNCTION("""COMPUTED_VALUE"""),0.5)</f>
        <v>0.5</v>
      </c>
      <c r="K20" s="2" t="str">
        <f>IFERROR(__xludf.DUMMYFUNCTION("""COMPUTED_VALUE"""),"4– Usable, minor flaws Minor background noise.")</f>
        <v>4– Usable, minor flaws Minor background noise.</v>
      </c>
      <c r="L20" s="2" t="str">
        <f>IFERROR(__xludf.DUMMYFUNCTION("""COMPUTED_VALUE"""),"No")</f>
        <v>No</v>
      </c>
    </row>
    <row r="21">
      <c r="A21" s="2" t="str">
        <f>IFERROR(__xludf.DUMMYFUNCTION("""COMPUTED_VALUE"""),"collect\read\YouTube\Bangladesh Television (BTV)\__yFg8a8Zb4\543065f8-038a-448a-af42-02a8cd7289f9.flac")</f>
        <v>collect\read\YouTube\Bangladesh Television (BTV)\__yFg8a8Zb4\543065f8-038a-448a-af42-02a8cd7289f9.flac</v>
      </c>
      <c r="B21" s="2">
        <f>IFERROR(__xludf.DUMMYFUNCTION("""COMPUTED_VALUE"""),30.0)</f>
        <v>30</v>
      </c>
      <c r="C21" s="2" t="str">
        <f>IFERROR(__xludf.DUMMYFUNCTION("""COMPUTED_VALUE"""),"নানে একজন মানুষ কীভাবে চলবে আদের ব্যাংক একাউন্টে কিন্তু সরকারের পক্ষ থেকে টাকা চলে গিয়েছে রেগুলার বেসিসে চলে গিয়েছে এটা আমাদের এখানে অসম্ভব ইমপ্রেকটিক্যাল তো যে কারণে আমাদের এই দরিদ্র জনগোষ্ঠী বা প্রান্তিক জনগোষ্ঠীকে কিন্তু তাদের মোবিলিটি মেইন্টেইন করতে হ"&amp;"বে আর করোনার ক্ষেত্রে একটা সবচেয়ে বড় চ্যালেঞ্জ হল আমরা সেই গত বছর থেকেই জানি যে সিমটোম্যাটিক কেসের চেয়ে অ্যাসিম্টোমাটিক কেস অনেক ক্ষেত্রে অনেক বেশি হয় এবং আমাদের কমিউনিটির মধ্যে যারা আছে তাদের মধ্যে বেশ কিছু মানুষ থাকে সুপার স্প্রেডার এটা ইসমাইল খান স্যার")</f>
        <v>নানে একজন মানুষ কীভাবে চলবে আদের ব্যাংক একাউন্টে কিন্তু সরকারের পক্ষ থেকে টাকা চলে গিয়েছে রেগুলার বেসিসে চলে গিয়েছে এটা আমাদের এখানে অসম্ভব ইমপ্রেকটিক্যাল তো যে কারণে আমাদের এই দরিদ্র জনগোষ্ঠী বা প্রান্তিক জনগোষ্ঠীকে কিন্তু তাদের মোবিলিটি মেইন্টেইন করতে হবে আর করোনার ক্ষেত্রে একটা সবচেয়ে বড় চ্যালেঞ্জ হল আমরা সেই গত বছর থেকেই জানি যে সিমটোম্যাটিক কেসের চেয়ে অ্যাসিম্টোমাটিক কেস অনেক ক্ষেত্রে অনেক বেশি হয় এবং আমাদের কমিউনিটির মধ্যে যারা আছে তাদের মধ্যে বেশ কিছু মানুষ থাকে সুপার স্প্রেডার এটা ইসমাইল খান স্যার</v>
      </c>
      <c r="D21" s="2" t="str">
        <f>IFERROR(__xludf.DUMMYFUNCTION("""COMPUTED_VALUE"""),"No")</f>
        <v>No</v>
      </c>
      <c r="E21" s="2" t="str">
        <f>IFERROR(__xludf.DUMMYFUNCTION("""COMPUTED_VALUE"""),"Yes")</f>
        <v>Yes</v>
      </c>
      <c r="F21" s="2" t="str">
        <f>IFERROR(__xludf.DUMMYFUNCTION("""COMPUTED_VALUE"""),"Yes")</f>
        <v>Yes</v>
      </c>
      <c r="G21" s="2">
        <f>IFERROR(__xludf.DUMMYFUNCTION("""COMPUTED_VALUE"""),1.0)</f>
        <v>1</v>
      </c>
      <c r="H21" s="2">
        <f>IFERROR(__xludf.DUMMYFUNCTION("""COMPUTED_VALUE"""),1.0)</f>
        <v>1</v>
      </c>
      <c r="I21" s="2">
        <f>IFERROR(__xludf.DUMMYFUNCTION("""COMPUTED_VALUE"""),1.0)</f>
        <v>1</v>
      </c>
      <c r="J21" s="2">
        <f>IFERROR(__xludf.DUMMYFUNCTION("""COMPUTED_VALUE"""),0.5)</f>
        <v>0.5</v>
      </c>
      <c r="K21" s="2" t="str">
        <f>IFERROR(__xludf.DUMMYFUNCTION("""COMPUTED_VALUE"""),"4– Usable, minor flaws Minor background noise.")</f>
        <v>4– Usable, minor flaws Minor background noise.</v>
      </c>
      <c r="L21" s="2" t="str">
        <f>IFERROR(__xludf.DUMMYFUNCTION("""COMPUTED_VALUE"""),"No")</f>
        <v>No</v>
      </c>
    </row>
    <row r="22">
      <c r="A22" s="2" t="str">
        <f>IFERROR(__xludf.DUMMYFUNCTION("""COMPUTED_VALUE"""),"collect\read\YouTube\Bangladesh Television (BTV)\__yFg8a8Zb4\66c3a0ff-2f66-4d9f-885f-84b31693920a.flac")</f>
        <v>collect\read\YouTube\Bangladesh Television (BTV)\__yFg8a8Zb4\66c3a0ff-2f66-4d9f-885f-84b31693920a.flac</v>
      </c>
      <c r="B22" s="2">
        <f>IFERROR(__xludf.DUMMYFUNCTION("""COMPUTED_VALUE"""),30.0)</f>
        <v>30</v>
      </c>
      <c r="C22" s="2" t="str">
        <f>IFERROR(__xludf.DUMMYFUNCTION("""COMPUTED_VALUE"""),"যে শেষ পর্যন্ত ব্রাহ্মণবাড়িয়ার অবস্থা কি হয় আমার কেন যেন মনে হয় যে অলরেডি ব্রাহ্মণবাড়িয়ে এসেে যে বিষয়টি আলোচনা হচ্ছে আসলো টিকার যে সংকট আমি মনে করি যে মাননীয় প্রধানমন্ত্রী যেটা বলেছেন যে টিকার মেধাস্বত্ব আইন যদি এটা মোহিত করা হয় তাহলে এখন যে মহামারী আমাদে"&amp;"র চলছে অবশ্যই যারা টিকা উৎপাদন করেছেন টিকা নিয়ে গবেষণা করেছেন তারা শ্রম দিয়েছেন তারা অর্থ খরচ করেছেন তারা ব্যবসা করবেন ব্যবসা করতে কোনো বাধা নেই কিন্তু ব্যবসা তো")</f>
        <v>যে শেষ পর্যন্ত ব্রাহ্মণবাড়িয়ার অবস্থা কি হয় আমার কেন যেন মনে হয় যে অলরেডি ব্রাহ্মণবাড়িয়ে এসেে যে বিষয়টি আলোচনা হচ্ছে আসলো টিকার যে সংকট আমি মনে করি যে মাননীয় প্রধানমন্ত্রী যেটা বলেছেন যে টিকার মেধাস্বত্ব আইন যদি এটা মোহিত করা হয় তাহলে এখন যে মহামারী আমাদের চলছে অবশ্যই যারা টিকা উৎপাদন করেছেন টিকা নিয়ে গবেষণা করেছেন তারা শ্রম দিয়েছেন তারা অর্থ খরচ করেছেন তারা ব্যবসা করবেন ব্যবসা করতে কোনো বাধা নেই কিন্তু ব্যবসা তো</v>
      </c>
      <c r="D22" s="2" t="str">
        <f>IFERROR(__xludf.DUMMYFUNCTION("""COMPUTED_VALUE"""),"No")</f>
        <v>No</v>
      </c>
      <c r="E22" s="2" t="str">
        <f>IFERROR(__xludf.DUMMYFUNCTION("""COMPUTED_VALUE"""),"No")</f>
        <v>No</v>
      </c>
      <c r="F22" s="2" t="str">
        <f>IFERROR(__xludf.DUMMYFUNCTION("""COMPUTED_VALUE"""),"No")</f>
        <v>No</v>
      </c>
      <c r="G22" s="2">
        <f>IFERROR(__xludf.DUMMYFUNCTION("""COMPUTED_VALUE"""),0.5)</f>
        <v>0.5</v>
      </c>
      <c r="H22" s="2">
        <f>IFERROR(__xludf.DUMMYFUNCTION("""COMPUTED_VALUE"""),0.5)</f>
        <v>0.5</v>
      </c>
      <c r="I22" s="2">
        <f>IFERROR(__xludf.DUMMYFUNCTION("""COMPUTED_VALUE"""),0.5)</f>
        <v>0.5</v>
      </c>
      <c r="J22" s="2">
        <f>IFERROR(__xludf.DUMMYFUNCTION("""COMPUTED_VALUE"""),0.5)</f>
        <v>0.5</v>
      </c>
      <c r="K22" s="2" t="str">
        <f>IFERROR(__xludf.DUMMYFUNCTION("""COMPUTED_VALUE"""),"4– Usable, minor flaws Minor background noise.")</f>
        <v>4– Usable, minor flaws Minor background noise.</v>
      </c>
      <c r="L22" s="2" t="str">
        <f>IFERROR(__xludf.DUMMYFUNCTION("""COMPUTED_VALUE"""),"No")</f>
        <v>No</v>
      </c>
    </row>
    <row r="23">
      <c r="A23" s="2" t="str">
        <f>IFERROR(__xludf.DUMMYFUNCTION("""COMPUTED_VALUE"""),"collect\read\YouTube\Bangladesh Television (BTV)\__yFg8a8Zb4\712b88e2-182d-4983-8732-da48035cf95c.flac")</f>
        <v>collect\read\YouTube\Bangladesh Television (BTV)\__yFg8a8Zb4\712b88e2-182d-4983-8732-da48035cf95c.flac</v>
      </c>
      <c r="B23" s="2">
        <f>IFERROR(__xludf.DUMMYFUNCTION("""COMPUTED_VALUE"""),30.0)</f>
        <v>30</v>
      </c>
      <c r="C23" s="2" t="str">
        <f>IFERROR(__xludf.DUMMYFUNCTION("""COMPUTED_VALUE"""),"যমন মোবালিটি অত বেশি হবে ততই যদি ঐ ক্যারিয়ার যুদ্ধ হইয়া থাকে ইনফ্যেকশার হয়ে থাকে আোন্ড আনোন্ডায় সেযুগ ইনফ্রথ হয়ে থাকে মবিরি যত বেশি ে সিভাবে ছড়াবে ব্রাহ্মণবাড়িয়ার কথা যে আপনি বলেছেন ব্রাহ্মণ বাড়িয়ে কিন্তু ত্রিপুরারের চেয়ে পঝাযে আর চাপাননমন্ট ওদিকে যে ভারত"&amp;"ের যে জেলাগুলো আছে এমনিে কর কি কয়েছে এমনতো বা কী ওদিকে যে জেলাগুলো সেগুলোতে কিন্তু")</f>
        <v>যমন মোবালিটি অত বেশি হবে ততই যদি ঐ ক্যারিয়ার যুদ্ধ হইয়া থাকে ইনফ্যেকশার হয়ে থাকে আোন্ড আনোন্ডায় সেযুগ ইনফ্রথ হয়ে থাকে মবিরি যত বেশি ে সিভাবে ছড়াবে ব্রাহ্মণবাড়িয়ার কথা যে আপনি বলেছেন ব্রাহ্মণ বাড়িয়ে কিন্তু ত্রিপুরারের চেয়ে পঝাযে আর চাপাননমন্ট ওদিকে যে ভারতের যে জেলাগুলো আছে এমনিে কর কি কয়েছে এমনতো বা কী ওদিকে যে জেলাগুলো সেগুলোতে কিন্তু</v>
      </c>
      <c r="D23" s="2" t="str">
        <f>IFERROR(__xludf.DUMMYFUNCTION("""COMPUTED_VALUE"""),"No")</f>
        <v>No</v>
      </c>
      <c r="E23" s="2" t="str">
        <f>IFERROR(__xludf.DUMMYFUNCTION("""COMPUTED_VALUE"""),"Yes")</f>
        <v>Yes</v>
      </c>
      <c r="F23" s="2" t="str">
        <f>IFERROR(__xludf.DUMMYFUNCTION("""COMPUTED_VALUE"""),"Yes")</f>
        <v>Yes</v>
      </c>
      <c r="G23" s="2">
        <f>IFERROR(__xludf.DUMMYFUNCTION("""COMPUTED_VALUE"""),0.0)</f>
        <v>0</v>
      </c>
      <c r="H23" s="2">
        <f>IFERROR(__xludf.DUMMYFUNCTION("""COMPUTED_VALUE"""),0.0)</f>
        <v>0</v>
      </c>
      <c r="I23" s="2">
        <f>IFERROR(__xludf.DUMMYFUNCTION("""COMPUTED_VALUE"""),0.0)</f>
        <v>0</v>
      </c>
      <c r="J23" s="2">
        <f>IFERROR(__xludf.DUMMYFUNCTION("""COMPUTED_VALUE"""),0.5)</f>
        <v>0.5</v>
      </c>
      <c r="K23" s="2" t="str">
        <f>IFERROR(__xludf.DUMMYFUNCTION("""COMPUTED_VALUE"""),"4– Usable, minor flaws Minor background noise.")</f>
        <v>4– Usable, minor flaws Minor background noise.</v>
      </c>
      <c r="L23" s="2" t="str">
        <f>IFERROR(__xludf.DUMMYFUNCTION("""COMPUTED_VALUE"""),"No")</f>
        <v>No</v>
      </c>
    </row>
    <row r="24">
      <c r="A24" s="2" t="str">
        <f>IFERROR(__xludf.DUMMYFUNCTION("""COMPUTED_VALUE"""),"collect\read\YouTube\Bangladesh Television (BTV)\__yFg8a8Zb4\7293edc4-655e-496e-81fa-9232473be93f.flac")</f>
        <v>collect\read\YouTube\Bangladesh Television (BTV)\__yFg8a8Zb4\7293edc4-655e-496e-81fa-9232473be93f.flac</v>
      </c>
      <c r="B24" s="2">
        <f>IFERROR(__xludf.DUMMYFUNCTION("""COMPUTED_VALUE"""),30.0)</f>
        <v>30</v>
      </c>
      <c r="C24" s="2" t="str">
        <f>IFERROR(__xludf.DUMMYFUNCTION("""COMPUTED_VALUE"""),"এর সাংসদ এশিয়ার মধ্যে অবশ্যই এবং সারা পৃথিবীতে উল্লেখযোগ্য প্রভার্ট পভার্টি এবং অন্য কিছু ইন্ডিক্রেটের করে আপনাই ভালো জানেন আমাদের দ্বস্ভাই জান আমি করা না বলে শুধু স্বাস্থ্র  ইযেগুলো ইনডিকরেটডমূলক আমরা অবার বিত্র সাফল্য অর্জন করেছি এবং সারা বিশ্বের কাছে আ"&amp;"মরা এমডিডি অর্জনে ঐ লক্ষ্যমাত্র টার যে সীমা ছিল তার আইডি অর্জনে আমরা মাননীয় প্রধানমন্ত্রীর নেতৃত্বে আমরা ছাড়া বিজেবিতা প্রর্জিত হয়েছি তারপরে সাতসিটেবলি এভেল প বলে ডি এমজিনি")</f>
        <v>এর সাংসদ এশিয়ার মধ্যে অবশ্যই এবং সারা পৃথিবীতে উল্লেখযোগ্য প্রভার্ট পভার্টি এবং অন্য কিছু ইন্ডিক্রেটের করে আপনাই ভালো জানেন আমাদের দ্বস্ভাই জান আমি করা না বলে শুধু স্বাস্থ্র  ইযেগুলো ইনডিকরেটডমূলক আমরা অবার বিত্র সাফল্য অর্জন করেছি এবং সারা বিশ্বের কাছে আমরা এমডিডি অর্জনে ঐ লক্ষ্যমাত্র টার যে সীমা ছিল তার আইডি অর্জনে আমরা মাননীয় প্রধানমন্ত্রীর নেতৃত্বে আমরা ছাড়া বিজেবিতা প্রর্জিত হয়েছি তারপরে সাতসিটেবলি এভেল প বলে ডি এমজিনি</v>
      </c>
      <c r="D24" s="2" t="str">
        <f>IFERROR(__xludf.DUMMYFUNCTION("""COMPUTED_VALUE"""),"No")</f>
        <v>No</v>
      </c>
      <c r="E24" s="2" t="str">
        <f>IFERROR(__xludf.DUMMYFUNCTION("""COMPUTED_VALUE"""),"Yes")</f>
        <v>Yes</v>
      </c>
      <c r="F24" s="2" t="str">
        <f>IFERROR(__xludf.DUMMYFUNCTION("""COMPUTED_VALUE"""),"Yes")</f>
        <v>Yes</v>
      </c>
      <c r="G24" s="2">
        <f>IFERROR(__xludf.DUMMYFUNCTION("""COMPUTED_VALUE"""),0.5)</f>
        <v>0.5</v>
      </c>
      <c r="H24" s="2">
        <f>IFERROR(__xludf.DUMMYFUNCTION("""COMPUTED_VALUE"""),0.5)</f>
        <v>0.5</v>
      </c>
      <c r="I24" s="2">
        <f>IFERROR(__xludf.DUMMYFUNCTION("""COMPUTED_VALUE"""),0.5)</f>
        <v>0.5</v>
      </c>
      <c r="J24" s="2">
        <f>IFERROR(__xludf.DUMMYFUNCTION("""COMPUTED_VALUE"""),0.5)</f>
        <v>0.5</v>
      </c>
      <c r="K24" s="2" t="str">
        <f>IFERROR(__xludf.DUMMYFUNCTION("""COMPUTED_VALUE"""),"4– Usable, minor flaws Minor background noise.")</f>
        <v>4– Usable, minor flaws Minor background noise.</v>
      </c>
      <c r="L24" s="2" t="str">
        <f>IFERROR(__xludf.DUMMYFUNCTION("""COMPUTED_VALUE"""),"No")</f>
        <v>No</v>
      </c>
    </row>
    <row r="25">
      <c r="A25" s="2" t="str">
        <f>IFERROR(__xludf.DUMMYFUNCTION("""COMPUTED_VALUE"""),"collect\read\YouTube\Bangladesh Television (BTV)\__yFg8a8Zb4\76593329-5a94-4b3a-aa04-5df11fc8190a.flac")</f>
        <v>collect\read\YouTube\Bangladesh Television (BTV)\__yFg8a8Zb4\76593329-5a94-4b3a-aa04-5df11fc8190a.flac</v>
      </c>
      <c r="B25" s="2">
        <f>IFERROR(__xludf.DUMMYFUNCTION("""COMPUTED_VALUE"""),30.0)</f>
        <v>30</v>
      </c>
      <c r="C25" s="2" t="str">
        <f>IFERROR(__xludf.DUMMYFUNCTION("""COMPUTED_VALUE"""),"অনেক চন্ত ওও করোনার হাার পচি মবি সেটা কিন্তু অনেক বেশি তিপনু এখানে ত্রিপুরা রাইজ যে করোনা কন্ত্ এতটা বেশি না সুতরাং আপনি যে সীমান্তমন্ত্রী কথা বলছেন সীবনরবতা হলেই তো সুতা হবে না ওই পার্ছে মানুষের মোমিনিটি এবং ওই পার্ছে যে কটি রকম করণা ইনফ্যাক্টিভ অধ্যাপক "&amp;"ডক্টর এয়াসএম আব্দুর রহমান কি বলেন এক্ষেত্রে অরথাৎ ইসমাইল খন আপনার কাছে ফিরে আসছি ধন্যবাদ আপনাকে আমি মনে করি যে হট স্পট নিয়ে যে বিষয়টি যে")</f>
        <v>অনেক চন্ত ওও করোনার হাার পচি মবি সেটা কিন্তু অনেক বেশি তিপনু এখানে ত্রিপুরা রাইজ যে করোনা কন্ত্ এতটা বেশি না সুতরাং আপনি যে সীমান্তমন্ত্রী কথা বলছেন সীবনরবতা হলেই তো সুতা হবে না ওই পার্ছে মানুষের মোমিনিটি এবং ওই পার্ছে যে কটি রকম করণা ইনফ্যাক্টিভ অধ্যাপক ডক্টর এয়াসএম আব্দুর রহমান কি বলেন এক্ষেত্রে অরথাৎ ইসমাইল খন আপনার কাছে ফিরে আসছি ধন্যবাদ আপনাকে আমি মনে করি যে হট স্পট নিয়ে যে বিষয়টি যে</v>
      </c>
      <c r="D25" s="2" t="str">
        <f>IFERROR(__xludf.DUMMYFUNCTION("""COMPUTED_VALUE"""),"No")</f>
        <v>No</v>
      </c>
      <c r="E25" s="2" t="str">
        <f>IFERROR(__xludf.DUMMYFUNCTION("""COMPUTED_VALUE"""),"Yes")</f>
        <v>Yes</v>
      </c>
      <c r="F25" s="2" t="str">
        <f>IFERROR(__xludf.DUMMYFUNCTION("""COMPUTED_VALUE"""),"Yes")</f>
        <v>Yes</v>
      </c>
      <c r="G25" s="2">
        <f>IFERROR(__xludf.DUMMYFUNCTION("""COMPUTED_VALUE"""),0.0)</f>
        <v>0</v>
      </c>
      <c r="H25" s="2">
        <f>IFERROR(__xludf.DUMMYFUNCTION("""COMPUTED_VALUE"""),0.5)</f>
        <v>0.5</v>
      </c>
      <c r="I25" s="2">
        <f>IFERROR(__xludf.DUMMYFUNCTION("""COMPUTED_VALUE"""),0.5)</f>
        <v>0.5</v>
      </c>
      <c r="J25" s="2">
        <f>IFERROR(__xludf.DUMMYFUNCTION("""COMPUTED_VALUE"""),0.5)</f>
        <v>0.5</v>
      </c>
      <c r="K25" s="2" t="str">
        <f>IFERROR(__xludf.DUMMYFUNCTION("""COMPUTED_VALUE"""),"4– Usable, minor flaws Minor background noise.")</f>
        <v>4– Usable, minor flaws Minor background noise.</v>
      </c>
      <c r="L25" s="2" t="str">
        <f>IFERROR(__xludf.DUMMYFUNCTION("""COMPUTED_VALUE"""),"No")</f>
        <v>No</v>
      </c>
    </row>
    <row r="26">
      <c r="A26" s="2" t="str">
        <f>IFERROR(__xludf.DUMMYFUNCTION("""COMPUTED_VALUE"""),"collect\read\YouTube\Bangladesh Television (BTV)\__yFg8a8Zb4\7d00aaa5-a538-4df8-b451-77a985466426.flac")</f>
        <v>collect\read\YouTube\Bangladesh Television (BTV)\__yFg8a8Zb4\7d00aaa5-a538-4df8-b451-77a985466426.flac</v>
      </c>
      <c r="B26" s="2">
        <f>IFERROR(__xludf.DUMMYFUNCTION("""COMPUTED_VALUE"""),30.0)</f>
        <v>30</v>
      </c>
      <c r="C26" s="2" t="str">
        <f>IFERROR(__xludf.DUMMYFUNCTION("""COMPUTED_VALUE"""),"সুন্দরভাবে এবং কোনো নির্ঝন যাটা কোনো ধরনের কোনো অসুবিধার সহকারী কিন্তু টিকা প্রদান সম্ভব হয়েছে দুর্ভাগ্যবশত আমাদের টিকা আমরা সেরাম ইনস্টিটিউট থেকে না পাওয়ার কারণে হয়তো টিকা আমরা টিকাদান প্রক্রিয়াটি আমরা চলমান রাখতে পারেনি কিন্তু যে বিষয়টা আপনি বললেন যে জু"&amp;"লাই থেকে আবার নতুন করে টিকা দান শুরু হবে এটা খুবই আশার সংবাদ আমি মনে করি আমাদের এই টিকাদান প্রক্রিয়া আবার এটা যদি শুরু হয় এবং এটা যদি চলতে থাকে")</f>
        <v>সুন্দরভাবে এবং কোনো নির্ঝন যাটা কোনো ধরনের কোনো অসুবিধার সহকারী কিন্তু টিকা প্রদান সম্ভব হয়েছে দুর্ভাগ্যবশত আমাদের টিকা আমরা সেরাম ইনস্টিটিউট থেকে না পাওয়ার কারণে হয়তো টিকা আমরা টিকাদান প্রক্রিয়াটি আমরা চলমান রাখতে পারেনি কিন্তু যে বিষয়টা আপনি বললেন যে জুলাই থেকে আবার নতুন করে টিকা দান শুরু হবে এটা খুবই আশার সংবাদ আমি মনে করি আমাদের এই টিকাদান প্রক্রিয়া আবার এটা যদি শুরু হয় এবং এটা যদি চলতে থাকে</v>
      </c>
      <c r="D26" s="2" t="str">
        <f>IFERROR(__xludf.DUMMYFUNCTION("""COMPUTED_VALUE"""),"No")</f>
        <v>No</v>
      </c>
      <c r="E26" s="2" t="str">
        <f>IFERROR(__xludf.DUMMYFUNCTION("""COMPUTED_VALUE"""),"No")</f>
        <v>No</v>
      </c>
      <c r="F26" s="2" t="str">
        <f>IFERROR(__xludf.DUMMYFUNCTION("""COMPUTED_VALUE"""),"Yes")</f>
        <v>Yes</v>
      </c>
      <c r="G26" s="2">
        <f>IFERROR(__xludf.DUMMYFUNCTION("""COMPUTED_VALUE"""),1.0)</f>
        <v>1</v>
      </c>
      <c r="H26" s="2">
        <f>IFERROR(__xludf.DUMMYFUNCTION("""COMPUTED_VALUE"""),0.5)</f>
        <v>0.5</v>
      </c>
      <c r="I26" s="2">
        <f>IFERROR(__xludf.DUMMYFUNCTION("""COMPUTED_VALUE"""),0.5)</f>
        <v>0.5</v>
      </c>
      <c r="J26" s="2">
        <f>IFERROR(__xludf.DUMMYFUNCTION("""COMPUTED_VALUE"""),0.5)</f>
        <v>0.5</v>
      </c>
      <c r="K26" s="2" t="str">
        <f>IFERROR(__xludf.DUMMYFUNCTION("""COMPUTED_VALUE"""),"4– Usable, minor flaws Minor background noise.")</f>
        <v>4– Usable, minor flaws Minor background noise.</v>
      </c>
      <c r="L26" s="2" t="str">
        <f>IFERROR(__xludf.DUMMYFUNCTION("""COMPUTED_VALUE"""),"No")</f>
        <v>No</v>
      </c>
    </row>
    <row r="27">
      <c r="A27" s="2" t="str">
        <f>IFERROR(__xludf.DUMMYFUNCTION("""COMPUTED_VALUE"""),"collect\read\YouTube\Bangladesh Television (BTV)\__yFg8a8Zb4\7f1867ae-752c-4f47-a8ec-2e79dba628d6.flac")</f>
        <v>collect\read\YouTube\Bangladesh Television (BTV)\__yFg8a8Zb4\7f1867ae-752c-4f47-a8ec-2e79dba628d6.flac</v>
      </c>
      <c r="B27" s="2">
        <f>IFERROR(__xludf.DUMMYFUNCTION("""COMPUTED_VALUE"""),30.0)</f>
        <v>30</v>
      </c>
      <c r="C27" s="2" t="str">
        <f>IFERROR(__xludf.DUMMYFUNCTION("""COMPUTED_VALUE"""),"প্রধানমন্ত্রীর সুনির্দিষ্ট পরিকল্পনা ও দূরদর্শী নেতৃত্বে বাংলাদেশ অপ্রতিরোধ্য গতিতে এগিয়ে যাচ্ছে বাজেট আলোচনায় বললেন সংসদ সদস্যরা বিএনপির রাজনীতি এদেশের রাজনৈতিক সহাবস্থানের পথে বড় অন্তরায় মন্তব্য ওবায়দুল কাদেরে বিশ্ববিদ্যালয়গুলো শুধু উন্নত শিক্ষাই দিবে ন"&amp;"া উন্নত মানুষও গড়ে তুলবে তথ্য ও সম্প্রচারমন্ত্রী ডক্টর হাছান মাহমুদের আশাবাদ করোনাভাইরাসের দেশে আরো")</f>
        <v>প্রধানমন্ত্রীর সুনির্দিষ্ট পরিকল্পনা ও দূরদর্শী নেতৃত্বে বাংলাদেশ অপ্রতিরোধ্য গতিতে এগিয়ে যাচ্ছে বাজেট আলোচনায় বললেন সংসদ সদস্যরা বিএনপির রাজনীতি এদেশের রাজনৈতিক সহাবস্থানের পথে বড় অন্তরায় মন্তব্য ওবায়দুল কাদেরে বিশ্ববিদ্যালয়গুলো শুধু উন্নত শিক্ষাই দিবে না উন্নত মানুষও গড়ে তুলবে তথ্য ও সম্প্রচারমন্ত্রী ডক্টর হাছান মাহমুদের আশাবাদ করোনাভাইরাসের দেশে আরো</v>
      </c>
      <c r="D27" s="2" t="str">
        <f>IFERROR(__xludf.DUMMYFUNCTION("""COMPUTED_VALUE"""),"No")</f>
        <v>No</v>
      </c>
      <c r="E27" s="2" t="str">
        <f>IFERROR(__xludf.DUMMYFUNCTION("""COMPUTED_VALUE"""),"No")</f>
        <v>No</v>
      </c>
      <c r="F27" s="2" t="str">
        <f>IFERROR(__xludf.DUMMYFUNCTION("""COMPUTED_VALUE"""),"Yes")</f>
        <v>Yes</v>
      </c>
      <c r="G27" s="2">
        <f>IFERROR(__xludf.DUMMYFUNCTION("""COMPUTED_VALUE"""),1.0)</f>
        <v>1</v>
      </c>
      <c r="H27" s="2">
        <f>IFERROR(__xludf.DUMMYFUNCTION("""COMPUTED_VALUE"""),1.0)</f>
        <v>1</v>
      </c>
      <c r="I27" s="2">
        <f>IFERROR(__xludf.DUMMYFUNCTION("""COMPUTED_VALUE"""),1.0)</f>
        <v>1</v>
      </c>
      <c r="J27" s="2">
        <f>IFERROR(__xludf.DUMMYFUNCTION("""COMPUTED_VALUE"""),0.5)</f>
        <v>0.5</v>
      </c>
      <c r="K27" s="2" t="str">
        <f>IFERROR(__xludf.DUMMYFUNCTION("""COMPUTED_VALUE"""),"4– Usable, minor flaws Minor background noise.")</f>
        <v>4– Usable, minor flaws Minor background noise.</v>
      </c>
      <c r="L27" s="2" t="str">
        <f>IFERROR(__xludf.DUMMYFUNCTION("""COMPUTED_VALUE"""),"No")</f>
        <v>No</v>
      </c>
    </row>
    <row r="28">
      <c r="A28" s="2" t="str">
        <f>IFERROR(__xludf.DUMMYFUNCTION("""COMPUTED_VALUE"""),"collect\read\YouTube\Bangladesh Television (BTV)\__yFg8a8Zb4\83084b41-cdbf-4374-9d5b-96e11f83f21b.flac")</f>
        <v>collect\read\YouTube\Bangladesh Television (BTV)\__yFg8a8Zb4\83084b41-cdbf-4374-9d5b-96e11f83f21b.flac</v>
      </c>
      <c r="B28" s="2">
        <f>IFERROR(__xludf.DUMMYFUNCTION("""COMPUTED_VALUE"""),30.0)</f>
        <v>30</v>
      </c>
      <c r="C28" s="2" t="str">
        <f>IFERROR(__xludf.DUMMYFUNCTION("""COMPUTED_VALUE"""),"আনন্দের বিষয় তো আমি বাস্তবতাটা বুছিলাম এই গত সপ্তাহে কিন্তু গত সপ্তাহে না গত দুই দিন আগে কিন্তু জি সেভেন্ট সম্মেলন শেষ হলো শুভাষ আপনি নিশ্চয় খেয়াল করেছেন এই জি সেভেনে তারা যে সাতটা দেশে তাদের যে সম্মিলিত সিদ্ধান্ত তারা কিন্তু এখন বলেছে যে এক বিলিয়ন ডোজ টি"&amp;"কা তারা কিন্তু আপনার এই দরিদ্র দেশগুলোকে গি বেবাই করবে মানে হলো ফ্রী তারাইডলা ডিস্ট্রিবিউট করবেন অনেট করবেন ইনস্টিডফ ওপেনিং আপ দ্য পেটেন্ট রাইট তারা কিন্তু এই ফ্রিড অনেশনের দিকে এখন যাচ্ছে")</f>
        <v>আনন্দের বিষয় তো আমি বাস্তবতাটা বুছিলাম এই গত সপ্তাহে কিন্তু গত সপ্তাহে না গত দুই দিন আগে কিন্তু জি সেভেন্ট সম্মেলন শেষ হলো শুভাষ আপনি নিশ্চয় খেয়াল করেছেন এই জি সেভেনে তারা যে সাতটা দেশে তাদের যে সম্মিলিত সিদ্ধান্ত তারা কিন্তু এখন বলেছে যে এক বিলিয়ন ডোজ টিকা তারা কিন্তু আপনার এই দরিদ্র দেশগুলোকে গি বেবাই করবে মানে হলো ফ্রী তারাইডলা ডিস্ট্রিবিউট করবেন অনেট করবেন ইনস্টিডফ ওপেনিং আপ দ্য পেটেন্ট রাইট তারা কিন্তু এই ফ্রিড অনেশনের দিকে এখন যাচ্ছে</v>
      </c>
      <c r="D28" s="2" t="str">
        <f>IFERROR(__xludf.DUMMYFUNCTION("""COMPUTED_VALUE"""),"No")</f>
        <v>No</v>
      </c>
      <c r="E28" s="2" t="str">
        <f>IFERROR(__xludf.DUMMYFUNCTION("""COMPUTED_VALUE"""),"Yes")</f>
        <v>Yes</v>
      </c>
      <c r="F28" s="2" t="str">
        <f>IFERROR(__xludf.DUMMYFUNCTION("""COMPUTED_VALUE"""),"Yes")</f>
        <v>Yes</v>
      </c>
      <c r="G28" s="2">
        <f>IFERROR(__xludf.DUMMYFUNCTION("""COMPUTED_VALUE"""),0.5)</f>
        <v>0.5</v>
      </c>
      <c r="H28" s="2">
        <f>IFERROR(__xludf.DUMMYFUNCTION("""COMPUTED_VALUE"""),0.5)</f>
        <v>0.5</v>
      </c>
      <c r="I28" s="2">
        <f>IFERROR(__xludf.DUMMYFUNCTION("""COMPUTED_VALUE"""),0.5)</f>
        <v>0.5</v>
      </c>
      <c r="J28" s="2">
        <f>IFERROR(__xludf.DUMMYFUNCTION("""COMPUTED_VALUE"""),0.5)</f>
        <v>0.5</v>
      </c>
      <c r="K28" s="2" t="str">
        <f>IFERROR(__xludf.DUMMYFUNCTION("""COMPUTED_VALUE"""),"4– Usable, minor flaws Minor background noise.")</f>
        <v>4– Usable, minor flaws Minor background noise.</v>
      </c>
      <c r="L28" s="2" t="str">
        <f>IFERROR(__xludf.DUMMYFUNCTION("""COMPUTED_VALUE"""),"No")</f>
        <v>No</v>
      </c>
    </row>
    <row r="29">
      <c r="A29" s="2" t="str">
        <f>IFERROR(__xludf.DUMMYFUNCTION("""COMPUTED_VALUE"""),"collect\read\YouTube\Bangladesh Television (BTV)\__yFg8a8Zb4\889a55b4-d870-4888-8f21-d339842865aa.flac")</f>
        <v>collect\read\YouTube\Bangladesh Television (BTV)\__yFg8a8Zb4\889a55b4-d870-4888-8f21-d339842865aa.flac</v>
      </c>
      <c r="B29" s="2">
        <f>IFERROR(__xludf.DUMMYFUNCTION("""COMPUTED_VALUE"""),30.0)</f>
        <v>30</v>
      </c>
      <c r="C29" s="2" t="str">
        <f>IFERROR(__xludf.DUMMYFUNCTION("""COMPUTED_VALUE"""),"সেই টিকার দিকেই কিন্তু তাকিয়েছিলাম এবং তখন কিন্তু আমরা জানি যে অ্যাস্ট্রাজেনেকার যে টিকাটি ছিল পাশাপাশি ফাইজারের মডার্নার টিকাটি ছিল সেই তিনটি টিগায় কিন্তু অনুমোদিত হয়েছিল আমরা জানি অ্যাস্ট্রাজেনেকা ছাড়া অন্য যে দুটি টিকা ছিল তাদের সংরক্ষণ ব্যবস্থা আমাদের"&amp;" দেশে সেরকম না থাকার কারণে এবং হয়তো সেটা আমাদের জন্য সম্ভবপর হয়নি পরবর্তীতে যখন স্কুটনিক ভি বা সিরো ভ্যাকে টিকা বা সিনোফার্মের টিকা যখন অনুমোদিত হয় তখন কিন্তু আমাদের ওষুধ প্রশাসন অনতিবূলক")</f>
        <v>সেই টিকার দিকেই কিন্তু তাকিয়েছিলাম এবং তখন কিন্তু আমরা জানি যে অ্যাস্ট্রাজেনেকার যে টিকাটি ছিল পাশাপাশি ফাইজারের মডার্নার টিকাটি ছিল সেই তিনটি টিগায় কিন্তু অনুমোদিত হয়েছিল আমরা জানি অ্যাস্ট্রাজেনেকা ছাড়া অন্য যে দুটি টিকা ছিল তাদের সংরক্ষণ ব্যবস্থা আমাদের দেশে সেরকম না থাকার কারণে এবং হয়তো সেটা আমাদের জন্য সম্ভবপর হয়নি পরবর্তীতে যখন স্কুটনিক ভি বা সিরো ভ্যাকে টিকা বা সিনোফার্মের টিকা যখন অনুমোদিত হয় তখন কিন্তু আমাদের ওষুধ প্রশাসন অনতিবূলক</v>
      </c>
      <c r="D29" s="2" t="str">
        <f>IFERROR(__xludf.DUMMYFUNCTION("""COMPUTED_VALUE"""),"No")</f>
        <v>No</v>
      </c>
      <c r="E29" s="2" t="str">
        <f>IFERROR(__xludf.DUMMYFUNCTION("""COMPUTED_VALUE"""),"Yes")</f>
        <v>Yes</v>
      </c>
      <c r="F29" s="2" t="str">
        <f>IFERROR(__xludf.DUMMYFUNCTION("""COMPUTED_VALUE"""),"Yes")</f>
        <v>Yes</v>
      </c>
      <c r="G29" s="2">
        <f>IFERROR(__xludf.DUMMYFUNCTION("""COMPUTED_VALUE"""),0.5)</f>
        <v>0.5</v>
      </c>
      <c r="H29" s="2">
        <f>IFERROR(__xludf.DUMMYFUNCTION("""COMPUTED_VALUE"""),0.5)</f>
        <v>0.5</v>
      </c>
      <c r="I29" s="2">
        <f>IFERROR(__xludf.DUMMYFUNCTION("""COMPUTED_VALUE"""),1.0)</f>
        <v>1</v>
      </c>
      <c r="J29" s="2">
        <f>IFERROR(__xludf.DUMMYFUNCTION("""COMPUTED_VALUE"""),0.5)</f>
        <v>0.5</v>
      </c>
      <c r="K29" s="2" t="str">
        <f>IFERROR(__xludf.DUMMYFUNCTION("""COMPUTED_VALUE"""),"4– Usable, minor flaws Minor background noise.")</f>
        <v>4– Usable, minor flaws Minor background noise.</v>
      </c>
      <c r="L29" s="2" t="str">
        <f>IFERROR(__xludf.DUMMYFUNCTION("""COMPUTED_VALUE"""),"No")</f>
        <v>No</v>
      </c>
    </row>
    <row r="30">
      <c r="A30" s="2" t="str">
        <f>IFERROR(__xludf.DUMMYFUNCTION("""COMPUTED_VALUE"""),"collect\read\YouTube\Bangladesh Television (BTV)\__yFg8a8Zb4\8ad4d519-e86a-4111-b427-976179e608bd.flac")</f>
        <v>collect\read\YouTube\Bangladesh Television (BTV)\__yFg8a8Zb4\8ad4d519-e86a-4111-b427-976179e608bd.flac</v>
      </c>
      <c r="B30" s="2">
        <f>IFERROR(__xludf.DUMMYFUNCTION("""COMPUTED_VALUE"""),30.0)</f>
        <v>30</v>
      </c>
      <c r="C30" s="2" t="str">
        <f>IFERROR(__xludf.DUMMYFUNCTION("""COMPUTED_VALUE"""),"সো যাচ্ছে কারণ এটার পিছনে বিজনেস আছে এটার পিছনে ডিপ্লোমেসি আছে বা ইন্টারন্যাশনাল পলিটিক্স আছে তো আমার মনে হয় যে ওভারল মাননীয় প্রধানমন্ত্রী এবং আমাদের স্বাস্থ্য যে সিস্টেম আমরা টিকার জন্য শুরুর দিকে মাঝখানে একটু বাঙ্গুল করলেও আমার মনে হয় যে এখন আমরা যেভাবে"&amp;" সিনোফার্মের টিতা বা রাশিয়া থেকে পিতা না ফাইজারের কাছ থেকে পিতা না বা ইভেন ইভেন আমাদের যে আস্ট্রেডনে কাট্তিকা আনার জন্য যেভাবে এখন মুভমেন্ট চলছে আমার মনে হয় সেটা আমাদের জন্য খনে খুবই আশা প্রদ এখটা ব্যাপ অযাপর দার ছোট্ট একটা জিনিস শের করতে চাই")</f>
        <v>সো যাচ্ছে কারণ এটার পিছনে বিজনেস আছে এটার পিছনে ডিপ্লোমেসি আছে বা ইন্টারন্যাশনাল পলিটিক্স আছে তো আমার মনে হয় যে ওভারল মাননীয় প্রধানমন্ত্রী এবং আমাদের স্বাস্থ্য যে সিস্টেম আমরা টিকার জন্য শুরুর দিকে মাঝখানে একটু বাঙ্গুল করলেও আমার মনে হয় যে এখন আমরা যেভাবে সিনোফার্মের টিতা বা রাশিয়া থেকে পিতা না ফাইজারের কাছ থেকে পিতা না বা ইভেন ইভেন আমাদের যে আস্ট্রেডনে কাট্তিকা আনার জন্য যেভাবে এখন মুভমেন্ট চলছে আমার মনে হয় সেটা আমাদের জন্য খনে খুবই আশা প্রদ এখটা ব্যাপ অযাপর দার ছোট্ট একটা জিনিস শের করতে চাই</v>
      </c>
      <c r="D30" s="2" t="str">
        <f>IFERROR(__xludf.DUMMYFUNCTION("""COMPUTED_VALUE"""),"No")</f>
        <v>No</v>
      </c>
      <c r="E30" s="2" t="str">
        <f>IFERROR(__xludf.DUMMYFUNCTION("""COMPUTED_VALUE"""),"Yes")</f>
        <v>Yes</v>
      </c>
      <c r="F30" s="2" t="str">
        <f>IFERROR(__xludf.DUMMYFUNCTION("""COMPUTED_VALUE"""),"Yes")</f>
        <v>Yes</v>
      </c>
      <c r="G30" s="2">
        <f>IFERROR(__xludf.DUMMYFUNCTION("""COMPUTED_VALUE"""),0.5)</f>
        <v>0.5</v>
      </c>
      <c r="H30" s="2">
        <f>IFERROR(__xludf.DUMMYFUNCTION("""COMPUTED_VALUE"""),0.5)</f>
        <v>0.5</v>
      </c>
      <c r="I30" s="2">
        <f>IFERROR(__xludf.DUMMYFUNCTION("""COMPUTED_VALUE"""),0.5)</f>
        <v>0.5</v>
      </c>
      <c r="J30" s="2">
        <f>IFERROR(__xludf.DUMMYFUNCTION("""COMPUTED_VALUE"""),0.5)</f>
        <v>0.5</v>
      </c>
      <c r="K30" s="2" t="str">
        <f>IFERROR(__xludf.DUMMYFUNCTION("""COMPUTED_VALUE"""),"4– Usable, minor flaws Minor background noise.")</f>
        <v>4– Usable, minor flaws Minor background noise.</v>
      </c>
      <c r="L30" s="2" t="str">
        <f>IFERROR(__xludf.DUMMYFUNCTION("""COMPUTED_VALUE"""),"No")</f>
        <v>No</v>
      </c>
    </row>
    <row r="31">
      <c r="A31" s="2" t="str">
        <f>IFERROR(__xludf.DUMMYFUNCTION("""COMPUTED_VALUE"""),"collect\read\YouTube\Bangladesh Television (BTV)\__yFg8a8Zb4\8b571761-dab1-4426-9d74-771504820762.flac")</f>
        <v>collect\read\YouTube\Bangladesh Television (BTV)\__yFg8a8Zb4\8b571761-dab1-4426-9d74-771504820762.flac</v>
      </c>
      <c r="B31" s="2">
        <f>IFERROR(__xludf.DUMMYFUNCTION("""COMPUTED_VALUE"""),30.0)</f>
        <v>30</v>
      </c>
      <c r="C31" s="2" t="str">
        <f>IFERROR(__xludf.DUMMYFUNCTION("""COMPUTED_VALUE"""),"প্িতযে হট স্পট বদলাচ্ছে করোনা সেটার কারণ কি আপনার কাছে মনে হয় একজন ফার্মাকোলজিস্ট হিসেবে আপনি কি মনে করেন এটুন মনে ফরমল হয়েছে বা চিকিৎসা নাম হয়ব যেটা বলল আমি তাসটে একন কারণ মানুষের মুবিলিটির সাথে এটা তো আর কোনো উপায় নাই সে ভাইরে স টা পরজীবি এবং এটা অন্য ক"&amp;"োনভাবে মানুষ ছাড়া অন্য কোনভাবে এটা মুভমেন্টে তার পাখা নাই অন্য কিছু নেই")</f>
        <v>প্িতযে হট স্পট বদলাচ্ছে করোনা সেটার কারণ কি আপনার কাছে মনে হয় একজন ফার্মাকোলজিস্ট হিসেবে আপনি কি মনে করেন এটুন মনে ফরমল হয়েছে বা চিকিৎসা নাম হয়ব যেটা বলল আমি তাসটে একন কারণ মানুষের মুবিলিটির সাথে এটা তো আর কোনো উপায় নাই সে ভাইরে স টা পরজীবি এবং এটা অন্য কোনভাবে মানুষ ছাড়া অন্য কোনভাবে এটা মুভমেন্টে তার পাখা নাই অন্য কিছু নেই</v>
      </c>
      <c r="D31" s="2" t="str">
        <f>IFERROR(__xludf.DUMMYFUNCTION("""COMPUTED_VALUE"""),"No")</f>
        <v>No</v>
      </c>
      <c r="E31" s="2" t="str">
        <f>IFERROR(__xludf.DUMMYFUNCTION("""COMPUTED_VALUE"""),"Yes")</f>
        <v>Yes</v>
      </c>
      <c r="F31" s="2" t="str">
        <f>IFERROR(__xludf.DUMMYFUNCTION("""COMPUTED_VALUE"""),"Yes")</f>
        <v>Yes</v>
      </c>
      <c r="G31" s="2">
        <f>IFERROR(__xludf.DUMMYFUNCTION("""COMPUTED_VALUE"""),0.5)</f>
        <v>0.5</v>
      </c>
      <c r="H31" s="2">
        <f>IFERROR(__xludf.DUMMYFUNCTION("""COMPUTED_VALUE"""),0.5)</f>
        <v>0.5</v>
      </c>
      <c r="I31" s="2">
        <f>IFERROR(__xludf.DUMMYFUNCTION("""COMPUTED_VALUE"""),1.0)</f>
        <v>1</v>
      </c>
      <c r="J31" s="2">
        <f>IFERROR(__xludf.DUMMYFUNCTION("""COMPUTED_VALUE"""),0.5)</f>
        <v>0.5</v>
      </c>
      <c r="K31" s="2" t="str">
        <f>IFERROR(__xludf.DUMMYFUNCTION("""COMPUTED_VALUE"""),"4– Usable, minor flaws Minor background noise.")</f>
        <v>4– Usable, minor flaws Minor background noise.</v>
      </c>
      <c r="L31" s="2"/>
    </row>
    <row r="32">
      <c r="A32" s="2" t="str">
        <f>IFERROR(__xludf.DUMMYFUNCTION("""COMPUTED_VALUE"""),"collect\read\YouTube\Bangladesh Television (BTV)\__yFg8a8Zb4\8e6f75e5-e1c6-4d49-b224-fe5adcb74b6d.flac")</f>
        <v>collect\read\YouTube\Bangladesh Television (BTV)\__yFg8a8Zb4\8e6f75e5-e1c6-4d49-b224-fe5adcb74b6d.flac</v>
      </c>
      <c r="B32" s="2">
        <f>IFERROR(__xludf.DUMMYFUNCTION("""COMPUTED_VALUE"""),30.0)</f>
        <v>30</v>
      </c>
      <c r="C32" s="2" t="str">
        <f>IFERROR(__xludf.DUMMYFUNCTION("""COMPUTED_VALUE"""),"দ আমাদের মাঝখানে হুচট খেতে হয়েছে এটা নিয়ে অনেকেই হয়তো সমালোচনা করেন কিন্তু আমি কিন্তু আমি মোটেই এখানে সমালোচনার বিষয় দেখি না কারণ আমাদের কিন্তু টিকার যে আশ্বাস আমরা পেয়েছিলাম সিরাম ইনস্টিটিউট থেকে এবং কোভ্যাক্স থেকে তারা কিন্তু অনেকটিকে আমাদের আশ্বাস পেয়ে"&amp;"ছিলাম পাশাপাশি অনেকে হয়তো বলে থাকেন যে আমরা কেনই রাশিয়া বা চীনের সঙ্গে আগে যোগাযোগ করিনি আমি একটু ভিন্নভাবে দেখি কারণ আমরা সবসময় কিন্তু ওয়ার্ল্ড হেলথ অর্গানেজেশন যে টিকাগুলিকে অনুমোদন দিয়েছে")</f>
        <v>দ আমাদের মাঝখানে হুচট খেতে হয়েছে এটা নিয়ে অনেকেই হয়তো সমালোচনা করেন কিন্তু আমি কিন্তু আমি মোটেই এখানে সমালোচনার বিষয় দেখি না কারণ আমাদের কিন্তু টিকার যে আশ্বাস আমরা পেয়েছিলাম সিরাম ইনস্টিটিউট থেকে এবং কোভ্যাক্স থেকে তারা কিন্তু অনেকটিকে আমাদের আশ্বাস পেয়েছিলাম পাশাপাশি অনেকে হয়তো বলে থাকেন যে আমরা কেনই রাশিয়া বা চীনের সঙ্গে আগে যোগাযোগ করিনি আমি একটু ভিন্নভাবে দেখি কারণ আমরা সবসময় কিন্তু ওয়ার্ল্ড হেলথ অর্গানেজেশন যে টিকাগুলিকে অনুমোদন দিয়েছে</v>
      </c>
      <c r="D32" s="2" t="str">
        <f>IFERROR(__xludf.DUMMYFUNCTION("""COMPUTED_VALUE"""),"No")</f>
        <v>No</v>
      </c>
      <c r="E32" s="2" t="str">
        <f>IFERROR(__xludf.DUMMYFUNCTION("""COMPUTED_VALUE"""),"Yes")</f>
        <v>Yes</v>
      </c>
      <c r="F32" s="2" t="str">
        <f>IFERROR(__xludf.DUMMYFUNCTION("""COMPUTED_VALUE"""),"Yes")</f>
        <v>Yes</v>
      </c>
      <c r="G32" s="2">
        <f>IFERROR(__xludf.DUMMYFUNCTION("""COMPUTED_VALUE"""),0.5)</f>
        <v>0.5</v>
      </c>
      <c r="H32" s="2">
        <f>IFERROR(__xludf.DUMMYFUNCTION("""COMPUTED_VALUE"""),0.5)</f>
        <v>0.5</v>
      </c>
      <c r="I32" s="2">
        <f>IFERROR(__xludf.DUMMYFUNCTION("""COMPUTED_VALUE"""),0.5)</f>
        <v>0.5</v>
      </c>
      <c r="J32" s="2">
        <f>IFERROR(__xludf.DUMMYFUNCTION("""COMPUTED_VALUE"""),0.5)</f>
        <v>0.5</v>
      </c>
      <c r="K32" s="2" t="str">
        <f>IFERROR(__xludf.DUMMYFUNCTION("""COMPUTED_VALUE"""),"4– Usable, minor flaws Minor background noise.")</f>
        <v>4– Usable, minor flaws Minor background noise.</v>
      </c>
      <c r="L32" s="2" t="str">
        <f>IFERROR(__xludf.DUMMYFUNCTION("""COMPUTED_VALUE"""),"No")</f>
        <v>No</v>
      </c>
    </row>
    <row r="33">
      <c r="A33" s="2" t="str">
        <f>IFERROR(__xludf.DUMMYFUNCTION("""COMPUTED_VALUE"""),"collect\read\YouTube\Bangladesh Television (BTV)\__yFg8a8Zb4\925be61d-0893-4f78-b8c9-8b899ea62d75.flac")</f>
        <v>collect\read\YouTube\Bangladesh Television (BTV)\__yFg8a8Zb4\925be61d-0893-4f78-b8c9-8b899ea62d75.flac</v>
      </c>
      <c r="B33" s="2">
        <f>IFERROR(__xludf.DUMMYFUNCTION("""COMPUTED_VALUE"""),30.0)</f>
        <v>30</v>
      </c>
      <c r="C33" s="2" t="str">
        <f>IFERROR(__xludf.DUMMYFUNCTION("""COMPUTED_VALUE"""),"সেটা আমরা যদি প্রথম টারটা যদি বলি আপনি জানেন যে টাকটাই মূলত লোহাঙ্গার লো পভার্টি তারপর হেলটের গুড হেলট এনড ওয়েলবিংনেস এবং তার নম্বরে যে এডুকেশন ইকুইটি অবে এডুকেশন ফর অল কোয়ালিটি এডুকেশন আমরা এরমধ্যেই এডুকেশনতো আমরা জানি পিথিবীর ইতিহাসে বিরল যে আমাদের মানন"&amp;"ীয় প্রধানমন্ত্রী যে পদক্ষেপ প্রাথমিক বিদ্যালয় থে কি শুরু")</f>
        <v>সেটা আমরা যদি প্রথম টারটা যদি বলি আপনি জানেন যে টাকটাই মূলত লোহাঙ্গার লো পভার্টি তারপর হেলটের গুড হেলট এনড ওয়েলবিংনেস এবং তার নম্বরে যে এডুকেশন ইকুইটি অবে এডুকেশন ফর অল কোয়ালিটি এডুকেশন আমরা এরমধ্যেই এডুকেশনতো আমরা জানি পিথিবীর ইতিহাসে বিরল যে আমাদের মাননীয় প্রধানমন্ত্রী যে পদক্ষেপ প্রাথমিক বিদ্যালয় থে কি শুরু</v>
      </c>
      <c r="D33" s="2" t="str">
        <f>IFERROR(__xludf.DUMMYFUNCTION("""COMPUTED_VALUE"""),"No")</f>
        <v>No</v>
      </c>
      <c r="E33" s="2" t="str">
        <f>IFERROR(__xludf.DUMMYFUNCTION("""COMPUTED_VALUE"""),"Yes")</f>
        <v>Yes</v>
      </c>
      <c r="F33" s="2" t="str">
        <f>IFERROR(__xludf.DUMMYFUNCTION("""COMPUTED_VALUE"""),"Yes")</f>
        <v>Yes</v>
      </c>
      <c r="G33" s="2">
        <f>IFERROR(__xludf.DUMMYFUNCTION("""COMPUTED_VALUE"""),0.5)</f>
        <v>0.5</v>
      </c>
      <c r="H33" s="2">
        <f>IFERROR(__xludf.DUMMYFUNCTION("""COMPUTED_VALUE"""),0.5)</f>
        <v>0.5</v>
      </c>
      <c r="I33" s="2">
        <f>IFERROR(__xludf.DUMMYFUNCTION("""COMPUTED_VALUE"""),0.5)</f>
        <v>0.5</v>
      </c>
      <c r="J33" s="2">
        <f>IFERROR(__xludf.DUMMYFUNCTION("""COMPUTED_VALUE"""),0.5)</f>
        <v>0.5</v>
      </c>
      <c r="K33" s="2"/>
      <c r="L33" s="2" t="str">
        <f>IFERROR(__xludf.DUMMYFUNCTION("""COMPUTED_VALUE"""),"Yes")</f>
        <v>Yes</v>
      </c>
    </row>
    <row r="34">
      <c r="A34" s="2" t="str">
        <f>IFERROR(__xludf.DUMMYFUNCTION("""COMPUTED_VALUE"""),"collect\read\YouTube\Bangladesh Television (BTV)\__yFg8a8Zb4\93080195-6311-4579-b65b-717641cbe2dd.flac")</f>
        <v>collect\read\YouTube\Bangladesh Television (BTV)\__yFg8a8Zb4\93080195-6311-4579-b65b-717641cbe2dd.flac</v>
      </c>
      <c r="B34" s="2">
        <f>IFERROR(__xludf.DUMMYFUNCTION("""COMPUTED_VALUE"""),30.0)</f>
        <v>30</v>
      </c>
      <c r="C34" s="2" t="str">
        <f>IFERROR(__xludf.DUMMYFUNCTION("""COMPUTED_VALUE"""),"বই টুড়ে দাওয়া থেকে যদি আমরা যদের হিসাব দিইটা কিছুট মানুষ চিন্তা করা কচাটা আমাদের বাংলাদেশ আমরা যেভাবে এডুকেশনে হেই এই ইমনি যাচ্ছে স্বাস্থ্য ক্ষেত্রে একটাই শুধু আমি গত মার্চ মাস থেকেই যে আমাদের যে মাননীয় প্রধানমন্ত্রী যখনই এপ্রিল মাসে সারা দেশের মানুষ সবাই"&amp;" আমরা শিক্ষিত সমাজ বলি আমরা রাজনীতির বলি পেশাজমী বলি যারা যেখানে আছে আমরা দেখি")</f>
        <v>বই টুড়ে দাওয়া থেকে যদি আমরা যদের হিসাব দিইটা কিছুট মানুষ চিন্তা করা কচাটা আমাদের বাংলাদেশ আমরা যেভাবে এডুকেশনে হেই এই ইমনি যাচ্ছে স্বাস্থ্য ক্ষেত্রে একটাই শুধু আমি গত মার্চ মাস থেকেই যে আমাদের যে মাননীয় প্রধানমন্ত্রী যখনই এপ্রিল মাসে সারা দেশের মানুষ সবাই আমরা শিক্ষিত সমাজ বলি আমরা রাজনীতির বলি পেশাজমী বলি যারা যেখানে আছে আমরা দেখি</v>
      </c>
      <c r="D34" s="2" t="str">
        <f>IFERROR(__xludf.DUMMYFUNCTION("""COMPUTED_VALUE"""),"No")</f>
        <v>No</v>
      </c>
      <c r="E34" s="2" t="str">
        <f>IFERROR(__xludf.DUMMYFUNCTION("""COMPUTED_VALUE"""),"Yes")</f>
        <v>Yes</v>
      </c>
      <c r="F34" s="2" t="str">
        <f>IFERROR(__xludf.DUMMYFUNCTION("""COMPUTED_VALUE"""),"Yes")</f>
        <v>Yes</v>
      </c>
      <c r="G34" s="2">
        <f>IFERROR(__xludf.DUMMYFUNCTION("""COMPUTED_VALUE"""),0.5)</f>
        <v>0.5</v>
      </c>
      <c r="H34" s="2">
        <f>IFERROR(__xludf.DUMMYFUNCTION("""COMPUTED_VALUE"""),0.5)</f>
        <v>0.5</v>
      </c>
      <c r="I34" s="2">
        <f>IFERROR(__xludf.DUMMYFUNCTION("""COMPUTED_VALUE"""),1.0)</f>
        <v>1</v>
      </c>
      <c r="J34" s="2">
        <f>IFERROR(__xludf.DUMMYFUNCTION("""COMPUTED_VALUE"""),0.5)</f>
        <v>0.5</v>
      </c>
      <c r="K34" s="2" t="str">
        <f>IFERROR(__xludf.DUMMYFUNCTION("""COMPUTED_VALUE"""),"4– Usable, minor flaws Minor background noise.")</f>
        <v>4– Usable, minor flaws Minor background noise.</v>
      </c>
      <c r="L34" s="2" t="str">
        <f>IFERROR(__xludf.DUMMYFUNCTION("""COMPUTED_VALUE"""),"No")</f>
        <v>No</v>
      </c>
    </row>
    <row r="35">
      <c r="A35" s="2" t="str">
        <f>IFERROR(__xludf.DUMMYFUNCTION("""COMPUTED_VALUE"""),"collect\read\YouTube\Bangladesh Television (BTV)\__yFg8a8Zb4\9b1f9b22-20fc-4ffc-b13a-d7f7393ebab6.flac")</f>
        <v>collect\read\YouTube\Bangladesh Television (BTV)\__yFg8a8Zb4\9b1f9b22-20fc-4ffc-b13a-d7f7393ebab6.flac</v>
      </c>
      <c r="B35" s="2">
        <f>IFERROR(__xludf.DUMMYFUNCTION("""COMPUTED_VALUE"""),30.0)</f>
        <v>30</v>
      </c>
      <c r="C35" s="2" t="str">
        <f>IFERROR(__xludf.DUMMYFUNCTION("""COMPUTED_VALUE"""),"করেন সেটা হচ্ছে যে এই টিতাগুলো যে আসলো এই টিকাগুলো যারা তৈরি করল তারা কিন্তু এটার পেছনের মানে বিলিয়ন বিলিয়ন শত শত বিলিয়ন ডলার ইনভেস্ট করেই কিন্তু তারা এই টিকাটা পেয়েছে তো এই যে রাষ্ট্রীয় সম্পদ এবং রাষ্ট্রীয় তারা এক ধরনের গ্যামবলিং করেছে কি এই টিকা যে যতগু"&amp;"লো এসেছিল সবগুলো কিন্তু কাজও করে না যেমন আপনি জানেন যে রিসেন্টলি আপনার  একটা টিতা তারা কিন্তু রিট্র্যাক্ট করতে বাধ্য হয়েছে যেমন মানে সিঙ্গেল ডোজার একটা পিতার এটা গেম চেঞ্জার বলা হচ্ছিল তো সেটাকে কিন্তু আপনার")</f>
        <v>করেন সেটা হচ্ছে যে এই টিতাগুলো যে আসলো এই টিকাগুলো যারা তৈরি করল তারা কিন্তু এটার পেছনের মানে বিলিয়ন বিলিয়ন শত শত বিলিয়ন ডলার ইনভেস্ট করেই কিন্তু তারা এই টিকাটা পেয়েছে তো এই যে রাষ্ট্রীয় সম্পদ এবং রাষ্ট্রীয় তারা এক ধরনের গ্যামবলিং করেছে কি এই টিকা যে যতগুলো এসেছিল সবগুলো কিন্তু কাজও করে না যেমন আপনি জানেন যে রিসেন্টলি আপনার  একটা টিতা তারা কিন্তু রিট্র্যাক্ট করতে বাধ্য হয়েছে যেমন মানে সিঙ্গেল ডোজার একটা পিতার এটা গেম চেঞ্জার বলা হচ্ছিল তো সেটাকে কিন্তু আপনার</v>
      </c>
      <c r="D35" s="2" t="str">
        <f>IFERROR(__xludf.DUMMYFUNCTION("""COMPUTED_VALUE"""),"No")</f>
        <v>No</v>
      </c>
      <c r="E35" s="2" t="str">
        <f>IFERROR(__xludf.DUMMYFUNCTION("""COMPUTED_VALUE"""),"No")</f>
        <v>No</v>
      </c>
      <c r="F35" s="2" t="str">
        <f>IFERROR(__xludf.DUMMYFUNCTION("""COMPUTED_VALUE"""),"Yes")</f>
        <v>Yes</v>
      </c>
      <c r="G35" s="2">
        <f>IFERROR(__xludf.DUMMYFUNCTION("""COMPUTED_VALUE"""),0.5)</f>
        <v>0.5</v>
      </c>
      <c r="H35" s="2">
        <f>IFERROR(__xludf.DUMMYFUNCTION("""COMPUTED_VALUE"""),0.5)</f>
        <v>0.5</v>
      </c>
      <c r="I35" s="2">
        <f>IFERROR(__xludf.DUMMYFUNCTION("""COMPUTED_VALUE"""),0.5)</f>
        <v>0.5</v>
      </c>
      <c r="J35" s="2">
        <f>IFERROR(__xludf.DUMMYFUNCTION("""COMPUTED_VALUE"""),0.5)</f>
        <v>0.5</v>
      </c>
      <c r="K35" s="2" t="str">
        <f>IFERROR(__xludf.DUMMYFUNCTION("""COMPUTED_VALUE"""),"4– Usable, minor flaws Minor background noise.")</f>
        <v>4– Usable, minor flaws Minor background noise.</v>
      </c>
      <c r="L35" s="2" t="str">
        <f>IFERROR(__xludf.DUMMYFUNCTION("""COMPUTED_VALUE"""),"No")</f>
        <v>No</v>
      </c>
    </row>
    <row r="36">
      <c r="A36" s="2" t="str">
        <f>IFERROR(__xludf.DUMMYFUNCTION("""COMPUTED_VALUE"""),"collect\read\YouTube\Bangladesh Television (BTV)\__yFg8a8Zb4\9d80ca60-e064-42cb-9f6c-6a2dded83caf.flac")</f>
        <v>collect\read\YouTube\Bangladesh Television (BTV)\__yFg8a8Zb4\9d80ca60-e064-42cb-9f6c-6a2dded83caf.flac</v>
      </c>
      <c r="B36" s="2">
        <f>IFERROR(__xludf.DUMMYFUNCTION("""COMPUTED_VALUE"""),30.0)</f>
        <v>30</v>
      </c>
      <c r="C36" s="2" t="str">
        <f>IFERROR(__xludf.DUMMYFUNCTION("""COMPUTED_VALUE"""),"পররাষ্ট্র মন্ত্রণালয়ে দুবার চিঠি দিয়েও কানাডার বেগমপাড়ার তথ্য পায়নি দুদক রোহিঙ্গাদের এনআইডি দেয়ার মামলার পরই বাদিকে বদলি করা নিয়ে প্রশ্ন পাতাল রেলের যুগে বাংলাদেশ আগামী মার্চেই কাজ শুরু এয়ারপোর্ট থেকে কমলাপুর এবং পূর্বাচল থেকে নতুনবাজার দুই ধাপে চলবে প্রক"&amp;"ল্প উদ্বোধন দু হাজার ছাব্বিশে কানাখন্দে ভরা টঙ্গী থেকে গাজীপুর চৌ রাস্তা শেষ হয়নি সংস্কার কাজ তিন দফা সময় বাড়ি")</f>
        <v>পররাষ্ট্র মন্ত্রণালয়ে দুবার চিঠি দিয়েও কানাডার বেগমপাড়ার তথ্য পায়নি দুদক রোহিঙ্গাদের এনআইডি দেয়ার মামলার পরই বাদিকে বদলি করা নিয়ে প্রশ্ন পাতাল রেলের যুগে বাংলাদেশ আগামী মার্চেই কাজ শুরু এয়ারপোর্ট থেকে কমলাপুর এবং পূর্বাচল থেকে নতুনবাজার দুই ধাপে চলবে প্রকল্প উদ্বোধন দু হাজার ছাব্বিশে কানাখন্দে ভরা টঙ্গী থেকে গাজীপুর চৌ রাস্তা শেষ হয়নি সংস্কার কাজ তিন দফা সময় বাড়ি</v>
      </c>
      <c r="D36" s="2" t="str">
        <f>IFERROR(__xludf.DUMMYFUNCTION("""COMPUTED_VALUE"""),"No")</f>
        <v>No</v>
      </c>
      <c r="E36" s="2" t="str">
        <f>IFERROR(__xludf.DUMMYFUNCTION("""COMPUTED_VALUE"""),"No")</f>
        <v>No</v>
      </c>
      <c r="F36" s="2" t="str">
        <f>IFERROR(__xludf.DUMMYFUNCTION("""COMPUTED_VALUE"""),"Yes")</f>
        <v>Yes</v>
      </c>
      <c r="G36" s="2">
        <f>IFERROR(__xludf.DUMMYFUNCTION("""COMPUTED_VALUE"""),1.0)</f>
        <v>1</v>
      </c>
      <c r="H36" s="2">
        <f>IFERROR(__xludf.DUMMYFUNCTION("""COMPUTED_VALUE"""),1.0)</f>
        <v>1</v>
      </c>
      <c r="I36" s="2">
        <f>IFERROR(__xludf.DUMMYFUNCTION("""COMPUTED_VALUE"""),1.0)</f>
        <v>1</v>
      </c>
      <c r="J36" s="2">
        <f>IFERROR(__xludf.DUMMYFUNCTION("""COMPUTED_VALUE"""),0.5)</f>
        <v>0.5</v>
      </c>
      <c r="K36" s="2" t="str">
        <f>IFERROR(__xludf.DUMMYFUNCTION("""COMPUTED_VALUE"""),"5 – High-quality, Clean Bangla speech")</f>
        <v>5 – High-quality, Clean Bangla speech</v>
      </c>
      <c r="L36" s="2" t="str">
        <f>IFERROR(__xludf.DUMMYFUNCTION("""COMPUTED_VALUE"""),"No")</f>
        <v>No</v>
      </c>
    </row>
    <row r="37">
      <c r="A37" s="2" t="str">
        <f>IFERROR(__xludf.DUMMYFUNCTION("""COMPUTED_VALUE"""),"collect\read\YouTube\Bangladesh Television (BTV)\__yFg8a8Zb4\a2350ee7-9482-472f-b6e6-dc0a6dd66d17.flac")</f>
        <v>collect\read\YouTube\Bangladesh Television (BTV)\__yFg8a8Zb4\a2350ee7-9482-472f-b6e6-dc0a6dd66d17.flac</v>
      </c>
      <c r="B37" s="2">
        <f>IFERROR(__xludf.DUMMYFUNCTION("""COMPUTED_VALUE"""),30.0)</f>
        <v>30</v>
      </c>
      <c r="C37" s="2" t="str">
        <f>IFERROR(__xludf.DUMMYFUNCTION("""COMPUTED_VALUE"""),"বাংলাদেশ ্কসিনেশন প্রোগ্রামে এক্সপান্ডেড প্রোগ্রামার ভ্যাকসিনেশন বাংলাদেশ যা আছে সারা বিশ্বে ভ্যাকসিমেশন প্রোগ্রামে বাংলাদেশ অত্যন্ত সফল আমরা একটি দেশ যেজন্য আমরা মাননীয় প্রধানমন্ত্রী ভ্যাকসিন হিরো ইউএনসিকেও পেয়েছেন আপনারা জানেন এবং অত্যন্ত সুন্দরভাবে সূচ"&amp;"ারুরু হয়ে যে ব্যাকসেনস প্রোগ্রাম শুরু হয়েছে এবং প্রত্যেকটা উপজেলা কেন্দ্র স্বাচ্শ কেন্দ্র ভূর্যন্ত একদম টার্চারি লেভেলের মেডিক্াল কলেজ হাসপাতাল মেডিক্যাল কলেজ")</f>
        <v>বাংলাদেশ ্কসিনেশন প্রোগ্রামে এক্সপান্ডেড প্রোগ্রামার ভ্যাকসিনেশন বাংলাদেশ যা আছে সারা বিশ্বে ভ্যাকসিমেশন প্রোগ্রামে বাংলাদেশ অত্যন্ত সফল আমরা একটি দেশ যেজন্য আমরা মাননীয় প্রধানমন্ত্রী ভ্যাকসিন হিরো ইউএনসিকেও পেয়েছেন আপনারা জানেন এবং অত্যন্ত সুন্দরভাবে সূচারুরু হয়ে যে ব্যাকসেনস প্রোগ্রাম শুরু হয়েছে এবং প্রত্যেকটা উপজেলা কেন্দ্র স্বাচ্শ কেন্দ্র ভূর্যন্ত একদম টার্চারি লেভেলের মেডিক্াল কলেজ হাসপাতাল মেডিক্যাল কলেজ</v>
      </c>
      <c r="D37" s="2" t="str">
        <f>IFERROR(__xludf.DUMMYFUNCTION("""COMPUTED_VALUE"""),"No")</f>
        <v>No</v>
      </c>
      <c r="E37" s="2" t="str">
        <f>IFERROR(__xludf.DUMMYFUNCTION("""COMPUTED_VALUE"""),"Yes")</f>
        <v>Yes</v>
      </c>
      <c r="F37" s="2" t="str">
        <f>IFERROR(__xludf.DUMMYFUNCTION("""COMPUTED_VALUE"""),"No")</f>
        <v>No</v>
      </c>
      <c r="G37" s="2">
        <f>IFERROR(__xludf.DUMMYFUNCTION("""COMPUTED_VALUE"""),0.5)</f>
        <v>0.5</v>
      </c>
      <c r="H37" s="2">
        <f>IFERROR(__xludf.DUMMYFUNCTION("""COMPUTED_VALUE"""),0.5)</f>
        <v>0.5</v>
      </c>
      <c r="I37" s="2">
        <f>IFERROR(__xludf.DUMMYFUNCTION("""COMPUTED_VALUE"""),0.5)</f>
        <v>0.5</v>
      </c>
      <c r="J37" s="2">
        <f>IFERROR(__xludf.DUMMYFUNCTION("""COMPUTED_VALUE"""),0.5)</f>
        <v>0.5</v>
      </c>
      <c r="K37" s="2" t="str">
        <f>IFERROR(__xludf.DUMMYFUNCTION("""COMPUTED_VALUE"""),"4– Usable, minor flaws Minor background noise.")</f>
        <v>4– Usable, minor flaws Minor background noise.</v>
      </c>
      <c r="L37" s="2" t="str">
        <f>IFERROR(__xludf.DUMMYFUNCTION("""COMPUTED_VALUE"""),"No")</f>
        <v>No</v>
      </c>
    </row>
    <row r="38">
      <c r="A38" s="2" t="str">
        <f>IFERROR(__xludf.DUMMYFUNCTION("""COMPUTED_VALUE"""),"collect\read\YouTube\Bangladesh Television (BTV)\__yFg8a8Zb4\a38d8511-2612-465a-bb27-d8c0a131fec4.flac")</f>
        <v>collect\read\YouTube\Bangladesh Television (BTV)\__yFg8a8Zb4\a38d8511-2612-465a-bb27-d8c0a131fec4.flac</v>
      </c>
      <c r="B38" s="2">
        <f>IFERROR(__xludf.DUMMYFUNCTION("""COMPUTED_VALUE"""),30.0)</f>
        <v>30</v>
      </c>
      <c r="C38" s="2" t="str">
        <f>IFERROR(__xludf.DUMMYFUNCTION("""COMPUTED_VALUE"""),"আমাদের অবশ্যই ভ্যাকসিনেশনের দিকে যেতে হবে আমাদের এইটি পার্সেন্ট পার্সেন্ট জনগণকে ভ্যাকসিন আমাদেরকে দিতে হবে সে ব্যাপারে মাননীয় প্রধানমন্ত্রী নিরলস চেষ্টা করে যাচ্ছেন তার সরকার নিরলস চেষ্টা করে যাচ্ছেন আমরা আশা করব যে যেটা বলা হলো যে জুলাই মাস থেকে আমরা ভ্"&amp;"যাকসিন দিবো আমরা আশা করব যে সেটা অবশ্যই আমরা দেখতে পাবে এবং সেটা বাংলাদেশে নিশ্চয়ই  আবার সে ভ্যাকসিনে সুন্দরভাবে ভ্যাকসিনেশন প্রক্রিয়া চালু হবে এবং আমরা করোনা থেকে মুক্ত থাকবে এব আমাদের শিক্ষা প্রতিষ্ঠান থেকে শুরু করে সব প্রতিষ্ঠান ব্য")</f>
        <v>আমাদের অবশ্যই ভ্যাকসিনেশনের দিকে যেতে হবে আমাদের এইটি পার্সেন্ট পার্সেন্ট জনগণকে ভ্যাকসিন আমাদেরকে দিতে হবে সে ব্যাপারে মাননীয় প্রধানমন্ত্রী নিরলস চেষ্টা করে যাচ্ছেন তার সরকার নিরলস চেষ্টা করে যাচ্ছেন আমরা আশা করব যে যেটা বলা হলো যে জুলাই মাস থেকে আমরা ভ্যাকসিন দিবো আমরা আশা করব যে সেটা অবশ্যই আমরা দেখতে পাবে এবং সেটা বাংলাদেশে নিশ্চয়ই  আবার সে ভ্যাকসিনে সুন্দরভাবে ভ্যাকসিনেশন প্রক্রিয়া চালু হবে এবং আমরা করোনা থেকে মুক্ত থাকবে এব আমাদের শিক্ষা প্রতিষ্ঠান থেকে শুরু করে সব প্রতিষ্ঠান ব্য</v>
      </c>
      <c r="D38" s="2" t="str">
        <f>IFERROR(__xludf.DUMMYFUNCTION("""COMPUTED_VALUE"""),"Yes")</f>
        <v>Yes</v>
      </c>
      <c r="E38" s="2" t="str">
        <f>IFERROR(__xludf.DUMMYFUNCTION("""COMPUTED_VALUE"""),"No")</f>
        <v>No</v>
      </c>
      <c r="F38" s="2" t="str">
        <f>IFERROR(__xludf.DUMMYFUNCTION("""COMPUTED_VALUE"""),"Yes")</f>
        <v>Yes</v>
      </c>
      <c r="G38" s="2">
        <f>IFERROR(__xludf.DUMMYFUNCTION("""COMPUTED_VALUE"""),1.0)</f>
        <v>1</v>
      </c>
      <c r="H38" s="2">
        <f>IFERROR(__xludf.DUMMYFUNCTION("""COMPUTED_VALUE"""),1.0)</f>
        <v>1</v>
      </c>
      <c r="I38" s="2">
        <f>IFERROR(__xludf.DUMMYFUNCTION("""COMPUTED_VALUE"""),1.0)</f>
        <v>1</v>
      </c>
      <c r="J38" s="2">
        <f>IFERROR(__xludf.DUMMYFUNCTION("""COMPUTED_VALUE"""),0.5)</f>
        <v>0.5</v>
      </c>
      <c r="K38" s="2" t="str">
        <f>IFERROR(__xludf.DUMMYFUNCTION("""COMPUTED_VALUE"""),"4– Usable, minor flaws Minor background noise.")</f>
        <v>4– Usable, minor flaws Minor background noise.</v>
      </c>
      <c r="L38" s="2" t="str">
        <f>IFERROR(__xludf.DUMMYFUNCTION("""COMPUTED_VALUE"""),"No")</f>
        <v>No</v>
      </c>
    </row>
    <row r="39">
      <c r="A39" s="2" t="str">
        <f>IFERROR(__xludf.DUMMYFUNCTION("""COMPUTED_VALUE"""),"collect\read\YouTube\Bangladesh Television (BTV)\__yFg8a8Zb4\aae8e8d2-510e-4587-9686-0608dd31dce4.flac")</f>
        <v>collect\read\YouTube\Bangladesh Television (BTV)\__yFg8a8Zb4\aae8e8d2-510e-4587-9686-0608dd31dce4.flac</v>
      </c>
      <c r="B39" s="2">
        <f>IFERROR(__xludf.DUMMYFUNCTION("""COMPUTED_VALUE"""),30.0)</f>
        <v>30</v>
      </c>
      <c r="C39" s="2" t="str">
        <f>IFERROR(__xludf.DUMMYFUNCTION("""COMPUTED_VALUE"""),"ওদের সহায়তা করে টিকা উৎপাদন ব্যাপকভাবে টিকা উৎপাদন করে সারা বিশ্বব্যাপী মহামারীকে কন্ট্রোল করার মাধ্যমেও তো ব্যবসা করা সম্ভব আমি মনে করি যে মেধাস্বত্ব আইন যদি অন্যান্য দেশ যারা টিকা উৎপাদন করতে সক্ষম তাদেরকে সেটা দেয়া হয় সেখানেও কিন্তু তাদের সঙ্গে এগ্রিমে"&amp;"ন্টে এসে ব্যবসা করা সম্ভব আজ যদি সেটা না করা হয় আমার কাছে কিছুটা মনে হচ্ছে যেটা মানবিক দৃষ্টিকোণ থেকে চিন্তা ভাবনা করলে সম্পূর্ণভাবে তার পরিপন্থী এবং এক ধরনের জিম্মি করা টিকাকে দেশে অন্যদেরকে না দেয়ার যে যে ধরনের তাদের")</f>
        <v>ওদের সহায়তা করে টিকা উৎপাদন ব্যাপকভাবে টিকা উৎপাদন করে সারা বিশ্বব্যাপী মহামারীকে কন্ট্রোল করার মাধ্যমেও তো ব্যবসা করা সম্ভব আমি মনে করি যে মেধাস্বত্ব আইন যদি অন্যান্য দেশ যারা টিকা উৎপাদন করতে সক্ষম তাদেরকে সেটা দেয়া হয় সেখানেও কিন্তু তাদের সঙ্গে এগ্রিমেন্টে এসে ব্যবসা করা সম্ভব আজ যদি সেটা না করা হয় আমার কাছে কিছুটা মনে হচ্ছে যেটা মানবিক দৃষ্টিকোণ থেকে চিন্তা ভাবনা করলে সম্পূর্ণভাবে তার পরিপন্থী এবং এক ধরনের জিম্মি করা টিকাকে দেশে অন্যদেরকে না দেয়ার যে যে ধরনের তাদের</v>
      </c>
      <c r="D39" s="2" t="str">
        <f>IFERROR(__xludf.DUMMYFUNCTION("""COMPUTED_VALUE"""),"No")</f>
        <v>No</v>
      </c>
      <c r="E39" s="2" t="str">
        <f>IFERROR(__xludf.DUMMYFUNCTION("""COMPUTED_VALUE"""),"No")</f>
        <v>No</v>
      </c>
      <c r="F39" s="2" t="str">
        <f>IFERROR(__xludf.DUMMYFUNCTION("""COMPUTED_VALUE"""),"Yes")</f>
        <v>Yes</v>
      </c>
      <c r="G39" s="2">
        <f>IFERROR(__xludf.DUMMYFUNCTION("""COMPUTED_VALUE"""),0.5)</f>
        <v>0.5</v>
      </c>
      <c r="H39" s="2">
        <f>IFERROR(__xludf.DUMMYFUNCTION("""COMPUTED_VALUE"""),0.5)</f>
        <v>0.5</v>
      </c>
      <c r="I39" s="2">
        <f>IFERROR(__xludf.DUMMYFUNCTION("""COMPUTED_VALUE"""),0.5)</f>
        <v>0.5</v>
      </c>
      <c r="J39" s="2">
        <f>IFERROR(__xludf.DUMMYFUNCTION("""COMPUTED_VALUE"""),0.5)</f>
        <v>0.5</v>
      </c>
      <c r="K39" s="2" t="str">
        <f>IFERROR(__xludf.DUMMYFUNCTION("""COMPUTED_VALUE"""),"4– Usable, minor flaws Minor background noise.")</f>
        <v>4– Usable, minor flaws Minor background noise.</v>
      </c>
      <c r="L39" s="2" t="str">
        <f>IFERROR(__xludf.DUMMYFUNCTION("""COMPUTED_VALUE"""),"No")</f>
        <v>No</v>
      </c>
    </row>
    <row r="40">
      <c r="A40" s="2" t="str">
        <f>IFERROR(__xludf.DUMMYFUNCTION("""COMPUTED_VALUE"""),"collect\read\YouTube\Bangladesh Television (BTV)\__yFg8a8Zb4\ad8c58d7-99a0-4a1d-9f8c-5ba4aca924b5.flac")</f>
        <v>collect\read\YouTube\Bangladesh Television (BTV)\__yFg8a8Zb4\ad8c58d7-99a0-4a1d-9f8c-5ba4aca924b5.flac</v>
      </c>
      <c r="B40" s="2">
        <f>IFERROR(__xludf.DUMMYFUNCTION("""COMPUTED_VALUE"""),30.0)</f>
        <v>30</v>
      </c>
      <c r="C40" s="2" t="str">
        <f>IFERROR(__xludf.DUMMYFUNCTION("""COMPUTED_VALUE"""),"তেষট্টি জনের মৃত্যু সীমান্তবর্তী জেলাগুলোতে বেড়ে চলেছে করোনা সংক্রমণ সংক্রমণ রোধে কঠোর লকডাউনসহ বাস্তবায়িত হচ্ছে নানা পদক্ষেপ করোনা রোগীর চাপে হাসপাতালে শয্যা বাড়িয়ও সামাল দেয়া যাচ্ছে না নমুনা পরীক্ষায় অনিয়মের অভিযোগ চব্বিশ ঘণ্টায় মৃত তেষট্টি জনের তেত্রিশ"&amp;" জন ই খুলনা ও রাজশাহী বিভাগের দেশব্যাপী লকডাউন দেয়ার নতুন কোনো পরিকল্পনা নেই জুলাই থেকে আবারো গণটিকা কার্যক্রম")</f>
        <v>তেষট্টি জনের মৃত্যু সীমান্তবর্তী জেলাগুলোতে বেড়ে চলেছে করোনা সংক্রমণ সংক্রমণ রোধে কঠোর লকডাউনসহ বাস্তবায়িত হচ্ছে নানা পদক্ষেপ করোনা রোগীর চাপে হাসপাতালে শয্যা বাড়িয়ও সামাল দেয়া যাচ্ছে না নমুনা পরীক্ষায় অনিয়মের অভিযোগ চব্বিশ ঘণ্টায় মৃত তেষট্টি জনের তেত্রিশ জন ই খুলনা ও রাজশাহী বিভাগের দেশব্যাপী লকডাউন দেয়ার নতুন কোনো পরিকল্পনা নেই জুলাই থেকে আবারো গণটিকা কার্যক্রম</v>
      </c>
      <c r="D40" s="2" t="str">
        <f>IFERROR(__xludf.DUMMYFUNCTION("""COMPUTED_VALUE"""),"No")</f>
        <v>No</v>
      </c>
      <c r="E40" s="2" t="str">
        <f>IFERROR(__xludf.DUMMYFUNCTION("""COMPUTED_VALUE"""),"No")</f>
        <v>No</v>
      </c>
      <c r="F40" s="2" t="str">
        <f>IFERROR(__xludf.DUMMYFUNCTION("""COMPUTED_VALUE"""),"No")</f>
        <v>No</v>
      </c>
      <c r="G40" s="2">
        <f>IFERROR(__xludf.DUMMYFUNCTION("""COMPUTED_VALUE"""),1.0)</f>
        <v>1</v>
      </c>
      <c r="H40" s="2">
        <f>IFERROR(__xludf.DUMMYFUNCTION("""COMPUTED_VALUE"""),1.0)</f>
        <v>1</v>
      </c>
      <c r="I40" s="2">
        <f>IFERROR(__xludf.DUMMYFUNCTION("""COMPUTED_VALUE"""),1.0)</f>
        <v>1</v>
      </c>
      <c r="J40" s="2">
        <f>IFERROR(__xludf.DUMMYFUNCTION("""COMPUTED_VALUE"""),0.5)</f>
        <v>0.5</v>
      </c>
      <c r="K40" s="2" t="str">
        <f>IFERROR(__xludf.DUMMYFUNCTION("""COMPUTED_VALUE"""),"5 – High-quality, Clean Bangla speech")</f>
        <v>5 – High-quality, Clean Bangla speech</v>
      </c>
      <c r="L40" s="2" t="str">
        <f>IFERROR(__xludf.DUMMYFUNCTION("""COMPUTED_VALUE"""),"No")</f>
        <v>No</v>
      </c>
    </row>
    <row r="41">
      <c r="A41" s="2" t="str">
        <f>IFERROR(__xludf.DUMMYFUNCTION("""COMPUTED_VALUE"""),"collect\read\YouTube\Bangladesh Television (BTV)\__yFg8a8Zb4\b5d561ff-f07f-46bd-9e94-b6ef5a084f18.flac")</f>
        <v>collect\read\YouTube\Bangladesh Television (BTV)\__yFg8a8Zb4\b5d561ff-f07f-46bd-9e94-b6ef5a084f18.flac</v>
      </c>
      <c r="B41" s="2">
        <f>IFERROR(__xludf.DUMMYFUNCTION("""COMPUTED_VALUE"""),30.0)</f>
        <v>30</v>
      </c>
      <c r="C41" s="2" t="str">
        <f>IFERROR(__xludf.DUMMYFUNCTION("""COMPUTED_VALUE"""),"সেখানে কঠোর লকডাউন দেয়া হয়েছিল কঠোর লকডাউন এবং জনগণের সচেতনতার কারণেই কিন্তু সেই ফলটা আমরা পেয়েছি এবং যে কারণে কিন্তু সেখানে সংক্রমণের মাত্রা এখন কমে গিয়েছে আর ব্রাহ্মণবাড়িয়াতে যে ঘটনাটি ঘটেছে যেটা প্রফেসর স্পাইল আসন বললেন যে সেখানে আসলে ত্রিপুরার সঙ্গে স"&amp;"েই ধরনের হয়তো যোগাযোগ নায় সেই ধরনের মোবিলিটি নাই যে কারণে হয়তো সেখানে আমাদের ওইভাবে সংক্রমণটা হচ্ছে না আরেকটি বিষয় যেটা বলা হয়েছে যে এখানে ভ্যারিয়েন্টের একটা ব্যাপার আছে যদিও আমি জানিনা ব্রহ্ম")</f>
        <v>সেখানে কঠোর লকডাউন দেয়া হয়েছিল কঠোর লকডাউন এবং জনগণের সচেতনতার কারণেই কিন্তু সেই ফলটা আমরা পেয়েছি এবং যে কারণে কিন্তু সেখানে সংক্রমণের মাত্রা এখন কমে গিয়েছে আর ব্রাহ্মণবাড়িয়াতে যে ঘটনাটি ঘটেছে যেটা প্রফেসর স্পাইল আসন বললেন যে সেখানে আসলে ত্রিপুরার সঙ্গে সেই ধরনের হয়তো যোগাযোগ নায় সেই ধরনের মোবিলিটি নাই যে কারণে হয়তো সেখানে আমাদের ওইভাবে সংক্রমণটা হচ্ছে না আরেকটি বিষয় যেটা বলা হয়েছে যে এখানে ভ্যারিয়েন্টের একটা ব্যাপার আছে যদিও আমি জানিনা ব্রহ্ম</v>
      </c>
      <c r="D41" s="2" t="str">
        <f>IFERROR(__xludf.DUMMYFUNCTION("""COMPUTED_VALUE"""),"No")</f>
        <v>No</v>
      </c>
      <c r="E41" s="2" t="str">
        <f>IFERROR(__xludf.DUMMYFUNCTION("""COMPUTED_VALUE"""),"No")</f>
        <v>No</v>
      </c>
      <c r="F41" s="2" t="str">
        <f>IFERROR(__xludf.DUMMYFUNCTION("""COMPUTED_VALUE"""),"Yes")</f>
        <v>Yes</v>
      </c>
      <c r="G41" s="2">
        <f>IFERROR(__xludf.DUMMYFUNCTION("""COMPUTED_VALUE"""),0.5)</f>
        <v>0.5</v>
      </c>
      <c r="H41" s="2">
        <f>IFERROR(__xludf.DUMMYFUNCTION("""COMPUTED_VALUE"""),1.0)</f>
        <v>1</v>
      </c>
      <c r="I41" s="2">
        <f>IFERROR(__xludf.DUMMYFUNCTION("""COMPUTED_VALUE"""),0.5)</f>
        <v>0.5</v>
      </c>
      <c r="J41" s="2">
        <f>IFERROR(__xludf.DUMMYFUNCTION("""COMPUTED_VALUE"""),0.5)</f>
        <v>0.5</v>
      </c>
      <c r="K41" s="2" t="str">
        <f>IFERROR(__xludf.DUMMYFUNCTION("""COMPUTED_VALUE"""),"4– Usable, minor flaws Minor background noise.")</f>
        <v>4– Usable, minor flaws Minor background noise.</v>
      </c>
      <c r="L41" s="2" t="str">
        <f>IFERROR(__xludf.DUMMYFUNCTION("""COMPUTED_VALUE"""),"No")</f>
        <v>No</v>
      </c>
    </row>
    <row r="42">
      <c r="A42" s="2" t="str">
        <f>IFERROR(__xludf.DUMMYFUNCTION("""COMPUTED_VALUE"""),"collect\read\YouTube\Bangladesh Television (BTV)\__yFg8a8Zb4\b925f164-b702-4ba2-9ff2-c1063160ed77.flac")</f>
        <v>collect\read\YouTube\Bangladesh Television (BTV)\__yFg8a8Zb4\b925f164-b702-4ba2-9ff2-c1063160ed77.flac</v>
      </c>
      <c r="B42" s="2">
        <f>IFERROR(__xludf.DUMMYFUNCTION("""COMPUTED_VALUE"""),30.0)</f>
        <v>30</v>
      </c>
      <c r="C42" s="2" t="str">
        <f>IFERROR(__xludf.DUMMYFUNCTION("""COMPUTED_VALUE"""),"চিন আমরা বাকি সেভেন্টি ফাইভ পার্সেন্ট যে অন্য জায়গায় চলে যাচ্ছে তা আমার মনে হয় যে এটা একটা বড় মানে কারণ যে আমাদের স্বাস্থ্য ব্যবস্থাটার যে এই যে ল্যাট অপ সাস্পেনেবিলিটি বা লেগ অব রেজিলিয়েন্স এটা একটা বড় কারণ হতে পারে নিশ্চয়টো এটা আপনার আপনার বিশ্লেষণতে যথ"&amp;"ার্থ কিন্তু প্তিনিয়ত হট স্পট যে বদলাচ্ছে করো না এবারের শেষ কোথায় এটাও তো বোঝ হও মুশকিল আপনার বিষ্টে সময় কী বলে জ্বিজি ধন্যবাদ প্রতিনিয়ত হট স্পট বদলানোর আসলে কারণটা হলো")</f>
        <v>চিন আমরা বাকি সেভেন্টি ফাইভ পার্সেন্ট যে অন্য জায়গায় চলে যাচ্ছে তা আমার মনে হয় যে এটা একটা বড় মানে কারণ যে আমাদের স্বাস্থ্য ব্যবস্থাটার যে এই যে ল্যাট অপ সাস্পেনেবিলিটি বা লেগ অব রেজিলিয়েন্স এটা একটা বড় কারণ হতে পারে নিশ্চয়টো এটা আপনার আপনার বিশ্লেষণতে যথার্থ কিন্তু প্তিনিয়ত হট স্পট যে বদলাচ্ছে করো না এবারের শেষ কোথায় এটাও তো বোঝ হও মুশকিল আপনার বিষ্টে সময় কী বলে জ্বিজি ধন্যবাদ প্রতিনিয়ত হট স্পট বদলানোর আসলে কারণটা হলো</v>
      </c>
      <c r="D42" s="2" t="str">
        <f>IFERROR(__xludf.DUMMYFUNCTION("""COMPUTED_VALUE"""),"No")</f>
        <v>No</v>
      </c>
      <c r="E42" s="2" t="str">
        <f>IFERROR(__xludf.DUMMYFUNCTION("""COMPUTED_VALUE"""),"Yes")</f>
        <v>Yes</v>
      </c>
      <c r="F42" s="2" t="str">
        <f>IFERROR(__xludf.DUMMYFUNCTION("""COMPUTED_VALUE"""),"Yes")</f>
        <v>Yes</v>
      </c>
      <c r="G42" s="2">
        <f>IFERROR(__xludf.DUMMYFUNCTION("""COMPUTED_VALUE"""),0.5)</f>
        <v>0.5</v>
      </c>
      <c r="H42" s="2">
        <f>IFERROR(__xludf.DUMMYFUNCTION("""COMPUTED_VALUE"""),0.5)</f>
        <v>0.5</v>
      </c>
      <c r="I42" s="2">
        <f>IFERROR(__xludf.DUMMYFUNCTION("""COMPUTED_VALUE"""),0.5)</f>
        <v>0.5</v>
      </c>
      <c r="J42" s="2">
        <f>IFERROR(__xludf.DUMMYFUNCTION("""COMPUTED_VALUE"""),0.5)</f>
        <v>0.5</v>
      </c>
      <c r="K42" s="2" t="str">
        <f>IFERROR(__xludf.DUMMYFUNCTION("""COMPUTED_VALUE"""),"4– Usable, minor flaws Minor background noise.")</f>
        <v>4– Usable, minor flaws Minor background noise.</v>
      </c>
      <c r="L42" s="2" t="str">
        <f>IFERROR(__xludf.DUMMYFUNCTION("""COMPUTED_VALUE"""),"No")</f>
        <v>No</v>
      </c>
    </row>
    <row r="43">
      <c r="A43" s="2" t="str">
        <f>IFERROR(__xludf.DUMMYFUNCTION("""COMPUTED_VALUE"""),"collect\read\YouTube\Bangladesh Television (BTV)\__yFg8a8Zb4\b998c1a4-cfa3-4b8c-b996-fc8547443393.flac")</f>
        <v>collect\read\YouTube\Bangladesh Television (BTV)\__yFg8a8Zb4\b998c1a4-cfa3-4b8c-b996-fc8547443393.flac</v>
      </c>
      <c r="B43" s="2">
        <f>IFERROR(__xludf.DUMMYFUNCTION("""COMPUTED_VALUE"""),30.0)</f>
        <v>30</v>
      </c>
      <c r="C43" s="2" t="str">
        <f>IFERROR(__xludf.DUMMYFUNCTION("""COMPUTED_VALUE"""),"যে বাংলাদেশ যে টিকা দেওয়ার ক্ষেত্রে যেভাবে শুরু করা হয়েছিল মাননীয় প্রধানমন্ত্রী এবং তার সরকার যেভাবে টিকা ব্যবস্থাপনা অত্যন্ত সুন্দরভাবে সারা দেবরাফী টিকা দেওয়া শুরু হয়েছিল এটা কিন্তু বিশ্বে দারুণভাবে প্রশংসিত হয়েছিল এবং এটাকে আমরা একটা ইমপ্রেসিভ স্টার্ট "&amp;"বলতে পারি এবং আমরা প্রতিদিন আড়াই লক্ষ করে টিকা দেওয়া হয়েছিল এবং টিকার আমরা যে টিকা পেয়েছিলাম সেটা কিন্তু খুব সুচারী")</f>
        <v>যে বাংলাদেশ যে টিকা দেওয়ার ক্ষেত্রে যেভাবে শুরু করা হয়েছিল মাননীয় প্রধানমন্ত্রী এবং তার সরকার যেভাবে টিকা ব্যবস্থাপনা অত্যন্ত সুন্দরভাবে সারা দেবরাফী টিকা দেওয়া শুরু হয়েছিল এটা কিন্তু বিশ্বে দারুণভাবে প্রশংসিত হয়েছিল এবং এটাকে আমরা একটা ইমপ্রেসিভ স্টার্ট বলতে পারি এবং আমরা প্রতিদিন আড়াই লক্ষ করে টিকা দেওয়া হয়েছিল এবং টিকার আমরা যে টিকা পেয়েছিলাম সেটা কিন্তু খুব সুচারী</v>
      </c>
      <c r="D43" s="2" t="str">
        <f>IFERROR(__xludf.DUMMYFUNCTION("""COMPUTED_VALUE"""),"No")</f>
        <v>No</v>
      </c>
      <c r="E43" s="2" t="str">
        <f>IFERROR(__xludf.DUMMYFUNCTION("""COMPUTED_VALUE"""),"No")</f>
        <v>No</v>
      </c>
      <c r="F43" s="2" t="str">
        <f>IFERROR(__xludf.DUMMYFUNCTION("""COMPUTED_VALUE"""),"Yes")</f>
        <v>Yes</v>
      </c>
      <c r="G43" s="2">
        <f>IFERROR(__xludf.DUMMYFUNCTION("""COMPUTED_VALUE"""),0.5)</f>
        <v>0.5</v>
      </c>
      <c r="H43" s="2">
        <f>IFERROR(__xludf.DUMMYFUNCTION("""COMPUTED_VALUE"""),0.5)</f>
        <v>0.5</v>
      </c>
      <c r="I43" s="2">
        <f>IFERROR(__xludf.DUMMYFUNCTION("""COMPUTED_VALUE"""),0.5)</f>
        <v>0.5</v>
      </c>
      <c r="J43" s="2">
        <f>IFERROR(__xludf.DUMMYFUNCTION("""COMPUTED_VALUE"""),0.5)</f>
        <v>0.5</v>
      </c>
      <c r="K43" s="2" t="str">
        <f>IFERROR(__xludf.DUMMYFUNCTION("""COMPUTED_VALUE"""),"4– Usable, minor flaws Minor background noise.")</f>
        <v>4– Usable, minor flaws Minor background noise.</v>
      </c>
      <c r="L43" s="2" t="str">
        <f>IFERROR(__xludf.DUMMYFUNCTION("""COMPUTED_VALUE"""),"No")</f>
        <v>No</v>
      </c>
    </row>
    <row r="44">
      <c r="A44" s="2" t="str">
        <f>IFERROR(__xludf.DUMMYFUNCTION("""COMPUTED_VALUE"""),"collect\read\YouTube\Bangladesh Television (BTV)\__yFg8a8Zb4\b9dc8bfd-2cea-4ff9-830c-e9564b893193.flac")</f>
        <v>collect\read\YouTube\Bangladesh Television (BTV)\__yFg8a8Zb4\b9dc8bfd-2cea-4ff9-830c-e9564b893193.flac</v>
      </c>
      <c r="B44" s="2">
        <f>IFERROR(__xludf.DUMMYFUNCTION("""COMPUTED_VALUE"""),30.0)</f>
        <v>30</v>
      </c>
      <c r="C44" s="2" t="str">
        <f>IFERROR(__xludf.DUMMYFUNCTION("""COMPUTED_VALUE"""),"য়াতে কোনো ভ্ারিয়েন্ট এ পর্যন্ত ধরা পড়েছে কিনা আমরা চাঁপাইনবাবগঞ্জে কিন্তু ইন্ডিয়ান ভোরিয়েন্টটা কিন্তু সেটা ধরা পড়েছে ব্রাহ্মণবাড়িয়ার যে সংক্রমণটা হচ্ছে সেখানে কিন্তু সেই ধরনের এখন পর্যন্ত ডেল্টা ভ্যারিয়েন্ট ধরা পড়েছে বা সে ধরনের তথ্য আমরা পায়নি হয়তো সেখান"&amp;"ে সংক্রমণ কম থাকার কারণও সেখানে সেই ধরনের সিকোয়েন্সিং করা হয়নি সেটা একটা কারণ হতে পারে আর আমাদের দেশে যে সংক্রমণের যে মাত্রা তা আমি যদি এখন বলি ঢাকা শহরে যদি সাত থেকে আট পার্সেন্ট আমি বলি যদি ব্যাপকভাবে যদি আমাদের এখানে টেস্ট করা হয় তাহলে নিশ্চয়ই এই সংক্র"&amp;"মণের র‌্য পার্সেন্ট েস্টে কুমি")</f>
        <v>য়াতে কোনো ভ্ারিয়েন্ট এ পর্যন্ত ধরা পড়েছে কিনা আমরা চাঁপাইনবাবগঞ্জে কিন্তু ইন্ডিয়ান ভোরিয়েন্টটা কিন্তু সেটা ধরা পড়েছে ব্রাহ্মণবাড়িয়ার যে সংক্রমণটা হচ্ছে সেখানে কিন্তু সেই ধরনের এখন পর্যন্ত ডেল্টা ভ্যারিয়েন্ট ধরা পড়েছে বা সে ধরনের তথ্য আমরা পায়নি হয়তো সেখানে সংক্রমণ কম থাকার কারণও সেখানে সেই ধরনের সিকোয়েন্সিং করা হয়নি সেটা একটা কারণ হতে পারে আর আমাদের দেশে যে সংক্রমণের যে মাত্রা তা আমি যদি এখন বলি ঢাকা শহরে যদি সাত থেকে আট পার্সেন্ট আমি বলি যদি ব্যাপকভাবে যদি আমাদের এখানে টেস্ট করা হয় তাহলে নিশ্চয়ই এই সংক্রমণের র‌্য পার্সেন্ট েস্টে কুমি</v>
      </c>
      <c r="D44" s="2" t="str">
        <f>IFERROR(__xludf.DUMMYFUNCTION("""COMPUTED_VALUE"""),"No")</f>
        <v>No</v>
      </c>
      <c r="E44" s="2" t="str">
        <f>IFERROR(__xludf.DUMMYFUNCTION("""COMPUTED_VALUE"""),"Yes")</f>
        <v>Yes</v>
      </c>
      <c r="F44" s="2" t="str">
        <f>IFERROR(__xludf.DUMMYFUNCTION("""COMPUTED_VALUE"""),"Yes")</f>
        <v>Yes</v>
      </c>
      <c r="G44" s="2">
        <f>IFERROR(__xludf.DUMMYFUNCTION("""COMPUTED_VALUE"""),0.5)</f>
        <v>0.5</v>
      </c>
      <c r="H44" s="2">
        <f>IFERROR(__xludf.DUMMYFUNCTION("""COMPUTED_VALUE"""),0.5)</f>
        <v>0.5</v>
      </c>
      <c r="I44" s="2">
        <f>IFERROR(__xludf.DUMMYFUNCTION("""COMPUTED_VALUE"""),0.5)</f>
        <v>0.5</v>
      </c>
      <c r="J44" s="2">
        <f>IFERROR(__xludf.DUMMYFUNCTION("""COMPUTED_VALUE"""),0.5)</f>
        <v>0.5</v>
      </c>
      <c r="K44" s="2" t="str">
        <f>IFERROR(__xludf.DUMMYFUNCTION("""COMPUTED_VALUE"""),"4– Usable, minor flaws Minor background noise.")</f>
        <v>4– Usable, minor flaws Minor background noise.</v>
      </c>
      <c r="L44" s="2" t="str">
        <f>IFERROR(__xludf.DUMMYFUNCTION("""COMPUTED_VALUE"""),"No")</f>
        <v>No</v>
      </c>
    </row>
    <row r="45">
      <c r="A45" s="2" t="str">
        <f>IFERROR(__xludf.DUMMYFUNCTION("""COMPUTED_VALUE"""),"collect\read\YouTube\Bangladesh Television (BTV)\__yFg8a8Zb4\c33a080b-ab89-4300-96b2-5e9cd5c2ee8f.flac")</f>
        <v>collect\read\YouTube\Bangladesh Television (BTV)\__yFg8a8Zb4\c33a080b-ab89-4300-96b2-5e9cd5c2ee8f.flac</v>
      </c>
      <c r="B45" s="2">
        <f>IFERROR(__xludf.DUMMYFUNCTION("""COMPUTED_VALUE"""),30.0)</f>
        <v>30</v>
      </c>
      <c r="C45" s="2" t="str">
        <f>IFERROR(__xludf.DUMMYFUNCTION("""COMPUTED_VALUE"""),"সিবিচার এই পেনডেমি একশো বছরে এই প্রথম এটা গিম তৈরি করুক যাই করুক ইন শুডপি ইউনভার্সাল প্রজাকটেন এএপডি পার্সন যাচা ইসমাইল খান আপনি নিশ্চয়ই অবগত আছেন সেপ্টেম্বর মাসের শেষ সপ্তাহে মাননীয় প্রধানমন্ত্রী জাতিসংঘের সধরণ অধিবেশনে খুব স্পষ্ট কেরে বলেছিলেন একেবারে ব"&amp;"লেছেন যে এই যে ভ্যাকসিন প্রক্রিয়ায় যে মেধাস্বত্ব আইন")</f>
        <v>সিবিচার এই পেনডেমি একশো বছরে এই প্রথম এটা গিম তৈরি করুক যাই করুক ইন শুডপি ইউনভার্সাল প্রজাকটেন এএপডি পার্সন যাচা ইসমাইল খান আপনি নিশ্চয়ই অবগত আছেন সেপ্টেম্বর মাসের শেষ সপ্তাহে মাননীয় প্রধানমন্ত্রী জাতিসংঘের সধরণ অধিবেশনে খুব স্পষ্ট কেরে বলেছিলেন একেবারে বলেছেন যে এই যে ভ্যাকসিন প্রক্রিয়ায় যে মেধাস্বত্ব আইন</v>
      </c>
      <c r="D45" s="2" t="str">
        <f>IFERROR(__xludf.DUMMYFUNCTION("""COMPUTED_VALUE"""),"No")</f>
        <v>No</v>
      </c>
      <c r="E45" s="2" t="str">
        <f>IFERROR(__xludf.DUMMYFUNCTION("""COMPUTED_VALUE"""),"Yes")</f>
        <v>Yes</v>
      </c>
      <c r="F45" s="2" t="str">
        <f>IFERROR(__xludf.DUMMYFUNCTION("""COMPUTED_VALUE"""),"Yes")</f>
        <v>Yes</v>
      </c>
      <c r="G45" s="2">
        <f>IFERROR(__xludf.DUMMYFUNCTION("""COMPUTED_VALUE"""),0.5)</f>
        <v>0.5</v>
      </c>
      <c r="H45" s="2">
        <f>IFERROR(__xludf.DUMMYFUNCTION("""COMPUTED_VALUE"""),0.5)</f>
        <v>0.5</v>
      </c>
      <c r="I45" s="2">
        <f>IFERROR(__xludf.DUMMYFUNCTION("""COMPUTED_VALUE"""),0.5)</f>
        <v>0.5</v>
      </c>
      <c r="J45" s="2">
        <f>IFERROR(__xludf.DUMMYFUNCTION("""COMPUTED_VALUE"""),0.5)</f>
        <v>0.5</v>
      </c>
      <c r="K45" s="2" t="str">
        <f>IFERROR(__xludf.DUMMYFUNCTION("""COMPUTED_VALUE"""),"4– Usable, minor flaws Minor background noise.")</f>
        <v>4– Usable, minor flaws Minor background noise.</v>
      </c>
      <c r="L45" s="2" t="str">
        <f>IFERROR(__xludf.DUMMYFUNCTION("""COMPUTED_VALUE"""),"Yes")</f>
        <v>Yes</v>
      </c>
    </row>
    <row r="46">
      <c r="A46" s="2" t="str">
        <f>IFERROR(__xludf.DUMMYFUNCTION("""COMPUTED_VALUE"""),"collect\read\YouTube\Bangladesh Television (BTV)\__yFg8a8Zb4\c57c64ce-2562-47f7-85f0-23efb02dc39b.flac")</f>
        <v>collect\read\YouTube\Bangladesh Television (BTV)\__yFg8a8Zb4\c57c64ce-2562-47f7-85f0-23efb02dc39b.flac</v>
      </c>
      <c r="B46" s="2">
        <f>IFERROR(__xludf.DUMMYFUNCTION("""COMPUTED_VALUE"""),30.0)</f>
        <v>30</v>
      </c>
      <c r="C46" s="2" t="str">
        <f>IFERROR(__xludf.DUMMYFUNCTION("""COMPUTED_VALUE"""),"পক্ষা করতে পেরেছি হবে আমি এখনো পারতেছি আমি ে া ি এটা একটা কথা বলেনি সার্সন হ আপনি এখন ফর্মাসি এ মাননীয় প্রধানমন্ত্রী সংসদে যেটা বলেছেন শুধুমাত্র আমরা ঠিকা এইটা উনি যেভাবে ডিকার করেছেন ইট টুড মিয়ের ইভিভার্সাল অব প্রোডাক্ট ওই যে মাহবু বলেছে ছাড়া পৃথিবীতে টি"&amp;"কা ডিপ্লোমেসিং এই মাননীয় প্রধানমন্ত্র প্রথম উচ্চারণ করেছেন")</f>
        <v>পক্ষা করতে পেরেছি হবে আমি এখনো পারতেছি আমি ে া ি এটা একটা কথা বলেনি সার্সন হ আপনি এখন ফর্মাসি এ মাননীয় প্রধানমন্ত্রী সংসদে যেটা বলেছেন শুধুমাত্র আমরা ঠিকা এইটা উনি যেভাবে ডিকার করেছেন ইট টুড মিয়ের ইভিভার্সাল অব প্রোডাক্ট ওই যে মাহবু বলেছে ছাড়া পৃথিবীতে টিকা ডিপ্লোমেসিং এই মাননীয় প্রধানমন্ত্র প্রথম উচ্চারণ করেছেন</v>
      </c>
      <c r="D46" s="2" t="str">
        <f>IFERROR(__xludf.DUMMYFUNCTION("""COMPUTED_VALUE"""),"No")</f>
        <v>No</v>
      </c>
      <c r="E46" s="2" t="str">
        <f>IFERROR(__xludf.DUMMYFUNCTION("""COMPUTED_VALUE"""),"Yes")</f>
        <v>Yes</v>
      </c>
      <c r="F46" s="2" t="str">
        <f>IFERROR(__xludf.DUMMYFUNCTION("""COMPUTED_VALUE"""),"Yes")</f>
        <v>Yes</v>
      </c>
      <c r="G46" s="2">
        <f>IFERROR(__xludf.DUMMYFUNCTION("""COMPUTED_VALUE"""),0.5)</f>
        <v>0.5</v>
      </c>
      <c r="H46" s="2">
        <f>IFERROR(__xludf.DUMMYFUNCTION("""COMPUTED_VALUE"""),0.5)</f>
        <v>0.5</v>
      </c>
      <c r="I46" s="2">
        <f>IFERROR(__xludf.DUMMYFUNCTION("""COMPUTED_VALUE"""),1.0)</f>
        <v>1</v>
      </c>
      <c r="J46" s="2">
        <f>IFERROR(__xludf.DUMMYFUNCTION("""COMPUTED_VALUE"""),0.5)</f>
        <v>0.5</v>
      </c>
      <c r="K46" s="2" t="str">
        <f>IFERROR(__xludf.DUMMYFUNCTION("""COMPUTED_VALUE"""),"4– Usable, minor flaws Minor background noise.")</f>
        <v>4– Usable, minor flaws Minor background noise.</v>
      </c>
      <c r="L46" s="2" t="str">
        <f>IFERROR(__xludf.DUMMYFUNCTION("""COMPUTED_VALUE"""),"No")</f>
        <v>No</v>
      </c>
    </row>
    <row r="47">
      <c r="A47" s="2" t="str">
        <f>IFERROR(__xludf.DUMMYFUNCTION("""COMPUTED_VALUE"""),"collect\read\YouTube\Bangladesh Television (BTV)\__yFg8a8Zb4\c71292ac-f4dd-4bd5-927d-fe2959223dbe.flac")</f>
        <v>collect\read\YouTube\Bangladesh Television (BTV)\__yFg8a8Zb4\c71292ac-f4dd-4bd5-927d-fe2959223dbe.flac</v>
      </c>
      <c r="B47" s="2">
        <f>IFERROR(__xludf.DUMMYFUNCTION("""COMPUTED_VALUE"""),30.0)</f>
        <v>30</v>
      </c>
      <c r="C47" s="2" t="str">
        <f>IFERROR(__xludf.DUMMYFUNCTION("""COMPUTED_VALUE"""),"ইসিক্সটি ডিগ্রি কাভারেজ অলরেডি দিয়ে ফেলেছেন শুধু আমি একটা জিনিস এড করতে চাই যে ভ্যাকসিন ডিপ্লোমেসি এটা কিন্তু একটা যুদ্ধকালীন অবস্থা তো আমরা সিচুয়েশন দেখেছি পুরো পৃথিবীতে আমরা আমাদের লাইফ টাইমে তো বিশ্বযুদ্ধ দেখি নাই কিন্তু বিশ্বযুদ্ধ চলাকালীন সময়ে যেরকম "&amp;"মানে একটা দেশের সাথে আরেকটা দেশে যেভাবে কারাকারি বা যে যে ধরনের ডিপ্লোমেসি হয় আমরা অনেকটা ভ্যাকসিন ডিপ্লোমেসির ক্ষেত্রে সেরকমটা দেখেছি তো এই যে টানাটানি টাগফ ফওয়ারের মধ্যেও যে আমাদের সরকার চমৎকারভাবে ওয়ান এজ ওয়ানও")</f>
        <v>ইসিক্সটি ডিগ্রি কাভারেজ অলরেডি দিয়ে ফেলেছেন শুধু আমি একটা জিনিস এড করতে চাই যে ভ্যাকসিন ডিপ্লোমেসি এটা কিন্তু একটা যুদ্ধকালীন অবস্থা তো আমরা সিচুয়েশন দেখেছি পুরো পৃথিবীতে আমরা আমাদের লাইফ টাইমে তো বিশ্বযুদ্ধ দেখি নাই কিন্তু বিশ্বযুদ্ধ চলাকালীন সময়ে যেরকম মানে একটা দেশের সাথে আরেকটা দেশে যেভাবে কারাকারি বা যে যে ধরনের ডিপ্লোমেসি হয় আমরা অনেকটা ভ্যাকসিন ডিপ্লোমেসির ক্ষেত্রে সেরকমটা দেখেছি তো এই যে টানাটানি টাগফ ফওয়ারের মধ্যেও যে আমাদের সরকার চমৎকারভাবে ওয়ান এজ ওয়ানও</v>
      </c>
      <c r="D47" s="2" t="str">
        <f>IFERROR(__xludf.DUMMYFUNCTION("""COMPUTED_VALUE"""),"Yes")</f>
        <v>Yes</v>
      </c>
      <c r="E47" s="2" t="str">
        <f>IFERROR(__xludf.DUMMYFUNCTION("""COMPUTED_VALUE"""),"No")</f>
        <v>No</v>
      </c>
      <c r="F47" s="2" t="str">
        <f>IFERROR(__xludf.DUMMYFUNCTION("""COMPUTED_VALUE"""),"No")</f>
        <v>No</v>
      </c>
      <c r="G47" s="2">
        <f>IFERROR(__xludf.DUMMYFUNCTION("""COMPUTED_VALUE"""),1.0)</f>
        <v>1</v>
      </c>
      <c r="H47" s="2">
        <f>IFERROR(__xludf.DUMMYFUNCTION("""COMPUTED_VALUE"""),0.5)</f>
        <v>0.5</v>
      </c>
      <c r="I47" s="2">
        <f>IFERROR(__xludf.DUMMYFUNCTION("""COMPUTED_VALUE"""),1.0)</f>
        <v>1</v>
      </c>
      <c r="J47" s="2">
        <f>IFERROR(__xludf.DUMMYFUNCTION("""COMPUTED_VALUE"""),0.5)</f>
        <v>0.5</v>
      </c>
      <c r="K47" s="2" t="str">
        <f>IFERROR(__xludf.DUMMYFUNCTION("""COMPUTED_VALUE"""),"4– Usable, minor flaws Minor background noise.")</f>
        <v>4– Usable, minor flaws Minor background noise.</v>
      </c>
      <c r="L47" s="2" t="str">
        <f>IFERROR(__xludf.DUMMYFUNCTION("""COMPUTED_VALUE"""),"Yes")</f>
        <v>Yes</v>
      </c>
    </row>
    <row r="48">
      <c r="A48" s="2" t="str">
        <f>IFERROR(__xludf.DUMMYFUNCTION("""COMPUTED_VALUE"""),"collect\read\YouTube\Bangladesh Television (BTV)\__yFg8a8Zb4\c9339a63-beea-4c73-b223-3fcfae440557.flac")</f>
        <v>collect\read\YouTube\Bangladesh Television (BTV)\__yFg8a8Zb4\c9339a63-beea-4c73-b223-3fcfae440557.flac</v>
      </c>
      <c r="B48" s="2">
        <f>IFERROR(__xludf.DUMMYFUNCTION("""COMPUTED_VALUE"""),30.0)</f>
        <v>30</v>
      </c>
      <c r="C48" s="2" t="str">
        <f>IFERROR(__xludf.DUMMYFUNCTION("""COMPUTED_VALUE"""),"দেখাগুলো এসেছে এটা সঠিক কারণ এটা মানুষের মোবিলিটির উপর ডিপেন্ড করে এখন ব্রাহ্মণবাড়িয়াতে হয়তো ওই ধরনের চলাচল নায় আমরা দেখেছি যে চাঁপাইনবাবগঞ্জে প্রথমে কিন্তু ট্রাক ড্রাইভাররা যখন এসেছে তাদের মাধ্যমে কিন্তু তারা মাস্ক না পড়ে বিভিন্ন জায়গায় ঘুরে বেড়িয়েছে এবং"&amp;" প্রথম দিকে চাঁপাইনবাবগঞ্জের জনগণের ভিতর কিন্তু স্বাস্থ্যবিধি মেন্টেইন করা এ বিষয়ে কোন সচেতনতা ছিল না আপনি যেটা একটু আগে বলেছেন যে চাঁপাইনবাবগঞ্জে এখন কমে যাচ্ছে চাপাই রবাবগঞ্জে যখন ধরা পড়েছে করোনার যখন সংক্রমণ বেড়ে যাচ্ছিল তখন জনগণে একটু সচেতন")</f>
        <v>দেখাগুলো এসেছে এটা সঠিক কারণ এটা মানুষের মোবিলিটির উপর ডিপেন্ড করে এখন ব্রাহ্মণবাড়িয়াতে হয়তো ওই ধরনের চলাচল নায় আমরা দেখেছি যে চাঁপাইনবাবগঞ্জে প্রথমে কিন্তু ট্রাক ড্রাইভাররা যখন এসেছে তাদের মাধ্যমে কিন্তু তারা মাস্ক না পড়ে বিভিন্ন জায়গায় ঘুরে বেড়িয়েছে এবং প্রথম দিকে চাঁপাইনবাবগঞ্জের জনগণের ভিতর কিন্তু স্বাস্থ্যবিধি মেন্টেইন করা এ বিষয়ে কোন সচেতনতা ছিল না আপনি যেটা একটু আগে বলেছেন যে চাঁপাইনবাবগঞ্জে এখন কমে যাচ্ছে চাপাই রবাবগঞ্জে যখন ধরা পড়েছে করোনার যখন সংক্রমণ বেড়ে যাচ্ছিল তখন জনগণে একটু সচেতন</v>
      </c>
      <c r="D48" s="2" t="str">
        <f>IFERROR(__xludf.DUMMYFUNCTION("""COMPUTED_VALUE"""),"No")</f>
        <v>No</v>
      </c>
      <c r="E48" s="2" t="str">
        <f>IFERROR(__xludf.DUMMYFUNCTION("""COMPUTED_VALUE"""),"Yes")</f>
        <v>Yes</v>
      </c>
      <c r="F48" s="2" t="str">
        <f>IFERROR(__xludf.DUMMYFUNCTION("""COMPUTED_VALUE"""),"No")</f>
        <v>No</v>
      </c>
      <c r="G48" s="2">
        <f>IFERROR(__xludf.DUMMYFUNCTION("""COMPUTED_VALUE"""),0.5)</f>
        <v>0.5</v>
      </c>
      <c r="H48" s="2">
        <f>IFERROR(__xludf.DUMMYFUNCTION("""COMPUTED_VALUE"""),0.5)</f>
        <v>0.5</v>
      </c>
      <c r="I48" s="2">
        <f>IFERROR(__xludf.DUMMYFUNCTION("""COMPUTED_VALUE"""),0.5)</f>
        <v>0.5</v>
      </c>
      <c r="J48" s="2">
        <f>IFERROR(__xludf.DUMMYFUNCTION("""COMPUTED_VALUE"""),0.5)</f>
        <v>0.5</v>
      </c>
      <c r="K48" s="2" t="str">
        <f>IFERROR(__xludf.DUMMYFUNCTION("""COMPUTED_VALUE"""),"4– Usable, minor flaws Minor background noise.")</f>
        <v>4– Usable, minor flaws Minor background noise.</v>
      </c>
      <c r="L48" s="2" t="str">
        <f>IFERROR(__xludf.DUMMYFUNCTION("""COMPUTED_VALUE"""),"No")</f>
        <v>No</v>
      </c>
    </row>
    <row r="49">
      <c r="A49" s="2" t="str">
        <f>IFERROR(__xludf.DUMMYFUNCTION("""COMPUTED_VALUE"""),"collect\read\YouTube\Bangladesh Television (BTV)\__yFg8a8Zb4\cc133f01-fc66-46a2-bd10-ab2e05da8f57.flac")</f>
        <v>collect\read\YouTube\Bangladesh Television (BTV)\__yFg8a8Zb4\cc133f01-fc66-46a2-bd10-ab2e05da8f57.flac</v>
      </c>
      <c r="B49" s="2">
        <f>IFERROR(__xludf.DUMMYFUNCTION("""COMPUTED_VALUE"""),30.0)</f>
        <v>30</v>
      </c>
      <c r="C49" s="2" t="str">
        <f>IFERROR(__xludf.DUMMYFUNCTION("""COMPUTED_VALUE"""),"না সেটা হচ্ছে যে ব্রাহ্মণবাড়িয়ার বিষয়টাতে আপনি খুব ইন্ট্রেস্টিংয়েটআজকে তুলে এনেছিলেন আমি একটা দেখা ভুলে গিয়েছিলাম ভুলে না এটা আমার মনে হয় যে এটা মাথায় নিলিয়া হতো ভালো হয় ব্রাহ্মণবাড়িয়া কিন্তু গত বছর কোভিডের শুরু থেকে বেশ কয়েকবার কিন্তু আন্তর্জাতিক বিশ্বের"&amp;" শিরোনাম হয়েছে আপনার মনে আছে কিনা যে একজন রিলিজিয়াস মানে আলেম বাস কলার মারা গিয়েছিলেন বেশ কয়েকবার জানা যায় শীতে বড় বড় বেশ কিছু কিন্তু মাছ গ্েদারিং হয়েছে এবং এই ব্রাহ্মণবাড়িয়ায় বেশ কয়েকবার কিন্তু আমাদের এই মানে আতশি কাচের নিচে ছিল")</f>
        <v>না সেটা হচ্ছে যে ব্রাহ্মণবাড়িয়ার বিষয়টাতে আপনি খুব ইন্ট্রেস্টিংয়েটআজকে তুলে এনেছিলেন আমি একটা দেখা ভুলে গিয়েছিলাম ভুলে না এটা আমার মনে হয় যে এটা মাথায় নিলিয়া হতো ভালো হয় ব্রাহ্মণবাড়িয়া কিন্তু গত বছর কোভিডের শুরু থেকে বেশ কয়েকবার কিন্তু আন্তর্জাতিক বিশ্বের শিরোনাম হয়েছে আপনার মনে আছে কিনা যে একজন রিলিজিয়াস মানে আলেম বাস কলার মারা গিয়েছিলেন বেশ কয়েকবার জানা যায় শীতে বড় বড় বেশ কিছু কিন্তু মাছ গ্েদারিং হয়েছে এবং এই ব্রাহ্মণবাড়িয়ায় বেশ কয়েকবার কিন্তু আমাদের এই মানে আতশি কাচের নিচে ছিল</v>
      </c>
      <c r="D49" s="2" t="str">
        <f>IFERROR(__xludf.DUMMYFUNCTION("""COMPUTED_VALUE"""),"No")</f>
        <v>No</v>
      </c>
      <c r="E49" s="2" t="str">
        <f>IFERROR(__xludf.DUMMYFUNCTION("""COMPUTED_VALUE"""),"Yes")</f>
        <v>Yes</v>
      </c>
      <c r="F49" s="2" t="str">
        <f>IFERROR(__xludf.DUMMYFUNCTION("""COMPUTED_VALUE"""),"Yes")</f>
        <v>Yes</v>
      </c>
      <c r="G49" s="2">
        <f>IFERROR(__xludf.DUMMYFUNCTION("""COMPUTED_VALUE"""),0.5)</f>
        <v>0.5</v>
      </c>
      <c r="H49" s="2">
        <f>IFERROR(__xludf.DUMMYFUNCTION("""COMPUTED_VALUE"""),0.5)</f>
        <v>0.5</v>
      </c>
      <c r="I49" s="2">
        <f>IFERROR(__xludf.DUMMYFUNCTION("""COMPUTED_VALUE"""),0.5)</f>
        <v>0.5</v>
      </c>
      <c r="J49" s="2">
        <f>IFERROR(__xludf.DUMMYFUNCTION("""COMPUTED_VALUE"""),0.5)</f>
        <v>0.5</v>
      </c>
      <c r="K49" s="2" t="str">
        <f>IFERROR(__xludf.DUMMYFUNCTION("""COMPUTED_VALUE"""),"4– Usable, minor flaws Minor background noise.")</f>
        <v>4– Usable, minor flaws Minor background noise.</v>
      </c>
      <c r="L49" s="2" t="str">
        <f>IFERROR(__xludf.DUMMYFUNCTION("""COMPUTED_VALUE"""),"No")</f>
        <v>No</v>
      </c>
    </row>
    <row r="50">
      <c r="A50" s="2" t="str">
        <f>IFERROR(__xludf.DUMMYFUNCTION("""COMPUTED_VALUE"""),"collect\read\YouTube\Bangladesh Television (BTV)\__yFg8a8Zb4\d131d745-ffe7-4e81-a223-fda9615e6fbe.flac")</f>
        <v>collect\read\YouTube\Bangladesh Television (BTV)\__yFg8a8Zb4\d131d745-ffe7-4e81-a223-fda9615e6fbe.flac</v>
      </c>
      <c r="B50" s="2">
        <f>IFERROR(__xludf.DUMMYFUNCTION("""COMPUTED_VALUE"""),30.0)</f>
        <v>30</v>
      </c>
      <c r="C50" s="2" t="str">
        <f>IFERROR(__xludf.DUMMYFUNCTION("""COMPUTED_VALUE"""),"এটাকে অনুভতি প্রদান করেছে এবং আমরা কিন্তু এই টিকা প্রদানের ক্ষেত্রে টিকা বাংলাদেশ আনার ক্ষেত্রে আমাদের সরকার এ ভূমিকা রেখেছে এবং তারা কিন্তু বেশ অগ্রগামী ভূমিকা রাখতে পেরেছে তো আমি আমি আমি এই জায়গায় একটুকমতাকে থামিয়ে ডক্টর মাহমুব সিদ্দিকীর কাছ থেকে টু জেন"&amp;"ে আসতে চাই তার একেবারেই প্রাথমিক গন্তব্যটি টা মাহবুব সিদ্দিক ধন্যবাদ জে ধন্যবাদ পার্সোফল থ্যাংক ইউ ফর হ্যাভিং মি আমি শুধু মানে স্যাররা দুজনেই আমার মনে হয় যেটা")</f>
        <v>এটাকে অনুভতি প্রদান করেছে এবং আমরা কিন্তু এই টিকা প্রদানের ক্ষেত্রে টিকা বাংলাদেশ আনার ক্ষেত্রে আমাদের সরকার এ ভূমিকা রেখেছে এবং তারা কিন্তু বেশ অগ্রগামী ভূমিকা রাখতে পেরেছে তো আমি আমি আমি এই জায়গায় একটুকমতাকে থামিয়ে ডক্টর মাহমুব সিদ্দিকীর কাছ থেকে টু জেনে আসতে চাই তার একেবারেই প্রাথমিক গন্তব্যটি টা মাহবুব সিদ্দিক ধন্যবাদ জে ধন্যবাদ পার্সোফল থ্যাংক ইউ ফর হ্যাভিং মি আমি শুধু মানে স্যাররা দুজনেই আমার মনে হয় যেটা</v>
      </c>
      <c r="D50" s="2" t="str">
        <f>IFERROR(__xludf.DUMMYFUNCTION("""COMPUTED_VALUE"""),"No")</f>
        <v>No</v>
      </c>
      <c r="E50" s="2" t="str">
        <f>IFERROR(__xludf.DUMMYFUNCTION("""COMPUTED_VALUE"""),"No")</f>
        <v>No</v>
      </c>
      <c r="F50" s="2" t="str">
        <f>IFERROR(__xludf.DUMMYFUNCTION("""COMPUTED_VALUE"""),"Yes")</f>
        <v>Yes</v>
      </c>
      <c r="G50" s="2">
        <f>IFERROR(__xludf.DUMMYFUNCTION("""COMPUTED_VALUE"""),0.5)</f>
        <v>0.5</v>
      </c>
      <c r="H50" s="2">
        <f>IFERROR(__xludf.DUMMYFUNCTION("""COMPUTED_VALUE"""),0.5)</f>
        <v>0.5</v>
      </c>
      <c r="I50" s="2">
        <f>IFERROR(__xludf.DUMMYFUNCTION("""COMPUTED_VALUE"""),1.0)</f>
        <v>1</v>
      </c>
      <c r="J50" s="2">
        <f>IFERROR(__xludf.DUMMYFUNCTION("""COMPUTED_VALUE"""),0.5)</f>
        <v>0.5</v>
      </c>
      <c r="K50" s="2" t="str">
        <f>IFERROR(__xludf.DUMMYFUNCTION("""COMPUTED_VALUE"""),"4– Usable, minor flaws Minor background noise.")</f>
        <v>4– Usable, minor flaws Minor background noise.</v>
      </c>
      <c r="L50" s="2"/>
    </row>
    <row r="51">
      <c r="A51" s="2" t="str">
        <f>IFERROR(__xludf.DUMMYFUNCTION("""COMPUTED_VALUE"""),"collect\read\YouTube\Bangladesh Television (BTV)\__yFg8a8Zb4\d3125951-8279-4d91-8196-c130a4237c75.flac")</f>
        <v>collect\read\YouTube\Bangladesh Television (BTV)\__yFg8a8Zb4\d3125951-8279-4d91-8196-c130a4237c75.flac</v>
      </c>
      <c r="B51" s="2">
        <f>IFERROR(__xludf.DUMMYFUNCTION("""COMPUTED_VALUE"""),30.0)</f>
        <v>30</v>
      </c>
      <c r="C51" s="2" t="str">
        <f>IFERROR(__xludf.DUMMYFUNCTION("""COMPUTED_VALUE"""),"তুই সারা পৃথিবীর যেখানে আতঙ্কিত সেখানে যে ঘুবে দরনো সাহস যোগানো মাননীয় প্রধানমন্ত্রী যে এপ্রিল থেকে শুরু করেছেন একদম প্রান্তিক পর্যায়ের সাথে যোগাযোগ হয়েছে গেলা নেভেলে সমস্ত কর্মকাণ্ড এই যে হেলথ কি আর ব্যবস্থাটা যে শুধুমাত্র আমরা চিকিৎসকে একটা পেশার করনসনি"&amp;" করে আমরা আগে বলতাম যে হেলথ ফর অন এটার নি সুনিশ্চিত করতে")</f>
        <v>তুই সারা পৃথিবীর যেখানে আতঙ্কিত সেখানে যে ঘুবে দরনো সাহস যোগানো মাননীয় প্রধানমন্ত্রী যে এপ্রিল থেকে শুরু করেছেন একদম প্রান্তিক পর্যায়ের সাথে যোগাযোগ হয়েছে গেলা নেভেলে সমস্ত কর্মকাণ্ড এই যে হেলথ কি আর ব্যবস্থাটা যে শুধুমাত্র আমরা চিকিৎসকে একটা পেশার করনসনি করে আমরা আগে বলতাম যে হেলথ ফর অন এটার নি সুনিশ্চিত করতে</v>
      </c>
      <c r="D51" s="2" t="str">
        <f>IFERROR(__xludf.DUMMYFUNCTION("""COMPUTED_VALUE"""),"No")</f>
        <v>No</v>
      </c>
      <c r="E51" s="2" t="str">
        <f>IFERROR(__xludf.DUMMYFUNCTION("""COMPUTED_VALUE"""),"Yes")</f>
        <v>Yes</v>
      </c>
      <c r="F51" s="2" t="str">
        <f>IFERROR(__xludf.DUMMYFUNCTION("""COMPUTED_VALUE"""),"Yes")</f>
        <v>Yes</v>
      </c>
      <c r="G51" s="2">
        <f>IFERROR(__xludf.DUMMYFUNCTION("""COMPUTED_VALUE"""),0.0)</f>
        <v>0</v>
      </c>
      <c r="H51" s="2">
        <f>IFERROR(__xludf.DUMMYFUNCTION("""COMPUTED_VALUE"""),0.5)</f>
        <v>0.5</v>
      </c>
      <c r="I51" s="2">
        <f>IFERROR(__xludf.DUMMYFUNCTION("""COMPUTED_VALUE"""),1.0)</f>
        <v>1</v>
      </c>
      <c r="J51" s="2">
        <f>IFERROR(__xludf.DUMMYFUNCTION("""COMPUTED_VALUE"""),0.5)</f>
        <v>0.5</v>
      </c>
      <c r="K51" s="2" t="str">
        <f>IFERROR(__xludf.DUMMYFUNCTION("""COMPUTED_VALUE"""),"4– Usable, minor flaws Minor background noise.")</f>
        <v>4– Usable, minor flaws Minor background noise.</v>
      </c>
      <c r="L51" s="2" t="str">
        <f>IFERROR(__xludf.DUMMYFUNCTION("""COMPUTED_VALUE"""),"No")</f>
        <v>No</v>
      </c>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row r="1000">
      <c r="A1000" s="2"/>
      <c r="B1000" s="2"/>
      <c r="C1000" s="2"/>
      <c r="D1000" s="2"/>
      <c r="E1000" s="2"/>
      <c r="F1000" s="2"/>
      <c r="G1000" s="2"/>
      <c r="H1000" s="2"/>
      <c r="I1000" s="2"/>
      <c r="J1000" s="2"/>
      <c r="K1000" s="2"/>
      <c r="L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IFERROR(__xludf.DUMMYFUNCTION("IMPORTRANGE(""https://docs.google.com/spreadsheets/d/1V6JmdOW71JtSp5DOttFFQLzJt2Wil6ZQ8f10dGOIJ7k/edit?gid=0#gid=0"", ""Data!A:L"")"),"Filename")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IFERROR(__xludf.DUMMYFUNCTION("""COMPUTED_VALUE"""),"D:\STT D3\STT D3\deliverables3\collect\miscellaneous\Dhaka FM\DFM - AUDIO CLIP (03-01-2023)\0d050564-c96c-478c-bef7-be177c499552.flac")</f>
        <v>D:\STT D3\STT D3\deliverables3\collect\miscellaneous\Dhaka FM\DFM - AUDIO CLIP (03-01-2023)\0d050564-c96c-478c-bef7-be177c499552.flac</v>
      </c>
      <c r="B2" s="2">
        <f>IFERROR(__xludf.DUMMYFUNCTION("""COMPUTED_VALUE"""),14.74)</f>
        <v>14.74</v>
      </c>
      <c r="C2" s="2" t="str">
        <f>IFERROR(__xludf.DUMMYFUNCTION("""COMPUTED_VALUE"""),"নগদ ইসলামিক এমএফএস অ্যাকাউন্ট আছে আপনাদের সাথে আপনারা চাইলেই মোবাইল লেনদেনের নানারকম সুবিধাও প্রভোগ করতে পারবেন সুদবিহীন এই নগদ ইসলামিক এমএফএস অ্যাকাউন্ট থেকে এইছি লাভ দেট আপনি শুনছেন নাইনটি পয়েন্ট ফোর")</f>
        <v>নগদ ইসলামিক এমএফএস অ্যাকাউন্ট আছে আপনাদের সাথে আপনারা চাইলেই মোবাইল লেনদেনের নানারকম সুবিধাও প্রভোগ করতে পারবেন সুদবিহীন এই নগদ ইসলামিক এমএফএস অ্যাকাউন্ট থেকে এইছি লাভ দেট আপনি শুনছেন নাইনটি পয়েন্ট ফোর</v>
      </c>
      <c r="D2" s="2" t="str">
        <f>IFERROR(__xludf.DUMMYFUNCTION("""COMPUTED_VALUE"""),"Yes")</f>
        <v>Yes</v>
      </c>
      <c r="E2" s="2" t="str">
        <f>IFERROR(__xludf.DUMMYFUNCTION("""COMPUTED_VALUE"""),"No")</f>
        <v>No</v>
      </c>
      <c r="F2" s="2" t="str">
        <f>IFERROR(__xludf.DUMMYFUNCTION("""COMPUTED_VALUE"""),"Yes")</f>
        <v>Yes</v>
      </c>
      <c r="G2" s="2">
        <f>IFERROR(__xludf.DUMMYFUNCTION("""COMPUTED_VALUE"""),1.0)</f>
        <v>1</v>
      </c>
      <c r="H2" s="2">
        <f>IFERROR(__xludf.DUMMYFUNCTION("""COMPUTED_VALUE"""),1.0)</f>
        <v>1</v>
      </c>
      <c r="I2" s="2">
        <f>IFERROR(__xludf.DUMMYFUNCTION("""COMPUTED_VALUE"""),0.5)</f>
        <v>0.5</v>
      </c>
      <c r="J2" s="2">
        <f>IFERROR(__xludf.DUMMYFUNCTION("""COMPUTED_VALUE"""),0.0)</f>
        <v>0</v>
      </c>
      <c r="K2" s="2" t="str">
        <f>IFERROR(__xludf.DUMMYFUNCTION("""COMPUTED_VALUE"""),"4– Usable, minor flaws Minor background noise.")</f>
        <v>4– Usable, minor flaws Minor background noise.</v>
      </c>
      <c r="L2" s="2" t="str">
        <f>IFERROR(__xludf.DUMMYFUNCTION("""COMPUTED_VALUE"""),"Yes")</f>
        <v>Yes</v>
      </c>
    </row>
    <row r="3">
      <c r="A3" s="2" t="str">
        <f>IFERROR(__xludf.DUMMYFUNCTION("""COMPUTED_VALUE"""),"collect/miscellaneous/Dhaka FM/DFM - AUDIO CLIP (03-01-2023)/2a002898-3076-4658-956d-a0b95af5dedf.flac")</f>
        <v>collect/miscellaneous/Dhaka FM/DFM - AUDIO CLIP (03-01-2023)/2a002898-3076-4658-956d-a0b95af5dedf.flac</v>
      </c>
      <c r="B3" s="2">
        <f>IFERROR(__xludf.DUMMYFUNCTION("""COMPUTED_VALUE"""),30.0)</f>
        <v>30</v>
      </c>
      <c r="C3" s="2" t="str">
        <f>IFERROR(__xludf.DUMMYFUNCTION("""COMPUTED_VALUE"""),"ই মর্ত আমার সঙ্গে এজন ভাইয়ার হয়েছেন তার সঙ্গ কথা বলব খালো হয়া কেমন আছেন আপনি ঈদ কেনাকেডার কী অবস্থান ধন্যবাদ আপদাকে আল হমদুল ইল্লাইম ভালোবাছি এই তো এটা কেনাকাটা চলছে শেষ পর্যায় একদম এই হালকা একটু কিছু পাকি আছে ভাপাঞ্জাবি কি আমি দেখছিলাম আনি পাঞ্জাবি দেখছে"&amp;"ন আপনি কি পাঞ্জাবি কিনছেন নাকি কাবলি দুটিরই চল দেখতে হচ্ছে সবার মধ্যে দা এপার আসলে আমি পাঞ্জাবিটে নিচ্ছি কারণ গতবার ওই কাবলির ট্রেনটা ছিল োআমিও ওই ট্রেন্ডে ফেঁসেছি তো ইপার যেহেতু পড়েছি এবারে একটু পাঞ্জাবি ট্রায় করছে েছি")</f>
        <v>ই মর্ত আমার সঙ্গে এজন ভাইয়ার হয়েছেন তার সঙ্গ কথা বলব খালো হয়া কেমন আছেন আপনি ঈদ কেনাকেডার কী অবস্থান ধন্যবাদ আপদাকে আল হমদুল ইল্লাইম ভালোবাছি এই তো এটা কেনাকাটা চলছে শেষ পর্যায় একদম এই হালকা একটু কিছু পাকি আছে ভাপাঞ্জাবি কি আমি দেখছিলাম আনি পাঞ্জাবি দেখছেন আপনি কি পাঞ্জাবি কিনছেন নাকি কাবলি দুটিরই চল দেখতে হচ্ছে সবার মধ্যে দা এপার আসলে আমি পাঞ্জাবিটে নিচ্ছি কারণ গতবার ওই কাবলির ট্রেনটা ছিল োআমিও ওই ট্রেন্ডে ফেঁসেছি তো ইপার যেহেতু পড়েছি এবারে একটু পাঞ্জাবি ট্রায় করছে েছি</v>
      </c>
      <c r="D3" s="2" t="str">
        <f>IFERROR(__xludf.DUMMYFUNCTION("""COMPUTED_VALUE"""),"No")</f>
        <v>No</v>
      </c>
      <c r="E3" s="2" t="str">
        <f>IFERROR(__xludf.DUMMYFUNCTION("""COMPUTED_VALUE"""),"Yes")</f>
        <v>Yes</v>
      </c>
      <c r="F3" s="2" t="str">
        <f>IFERROR(__xludf.DUMMYFUNCTION("""COMPUTED_VALUE"""),"Yes")</f>
        <v>Yes</v>
      </c>
      <c r="G3" s="2">
        <f>IFERROR(__xludf.DUMMYFUNCTION("""COMPUTED_VALUE"""),0.0)</f>
        <v>0</v>
      </c>
      <c r="H3" s="2">
        <f>IFERROR(__xludf.DUMMYFUNCTION("""COMPUTED_VALUE"""),0.0)</f>
        <v>0</v>
      </c>
      <c r="I3" s="2">
        <f>IFERROR(__xludf.DUMMYFUNCTION("""COMPUTED_VALUE"""),0.0)</f>
        <v>0</v>
      </c>
      <c r="J3" s="2">
        <f>IFERROR(__xludf.DUMMYFUNCTION("""COMPUTED_VALUE"""),0.0)</f>
        <v>0</v>
      </c>
      <c r="K3" s="2" t="str">
        <f>IFERROR(__xludf.DUMMYFUNCTION("""COMPUTED_VALUE"""),"1 - Unusable Severely degraded, or non-Bangla")</f>
        <v>1 - Unusable Severely degraded, or non-Bangla</v>
      </c>
      <c r="L3" s="2" t="str">
        <f>IFERROR(__xludf.DUMMYFUNCTION("""COMPUTED_VALUE"""),"No")</f>
        <v>No</v>
      </c>
    </row>
    <row r="4">
      <c r="A4" s="2" t="str">
        <f>IFERROR(__xludf.DUMMYFUNCTION("""COMPUTED_VALUE"""),"collect/miscellaneous/Dhaka FM/DFM - AUDIO CLIP (03-01-2023)/2f15e5a6-a3de-4b4b-93db-d55c8e253431.flac")</f>
        <v>collect/miscellaneous/Dhaka FM/DFM - AUDIO CLIP (03-01-2023)/2f15e5a6-a3de-4b4b-93db-d55c8e253431.flac</v>
      </c>
      <c r="B4" s="2">
        <f>IFERROR(__xludf.DUMMYFUNCTION("""COMPUTED_VALUE"""),20.342)</f>
        <v>20.342</v>
      </c>
      <c r="C4" s="2" t="str">
        <f>IFERROR(__xludf.DUMMYFUNCTION("""COMPUTED_VALUE"""),"ইয়াজ জেনে নিলেন বাকিটা জানিয়ে দিচ্ছি যে গত তিন বছর ধরে নগদ ইসলামী কেমএফেস অ্যাকাউন্ট আছে আপনাদেরইর সাথে আপনারা চাইলেই মোবাইলে লেনদেন করতে পারেন এবং লেনদেনের নানান রকম সুবিধা উপভোগ করতে পারবেন এখন সুদবিহীন এই নগদ ইসলামীকে ভেফে সাাকাউন্ট থেকে শুনছেন ঢাকা এফ"&amp;"ামদানি পয়েন্ট ফর এাকনিনেশন এক্সটেশন")</f>
        <v>ইয়াজ জেনে নিলেন বাকিটা জানিয়ে দিচ্ছি যে গত তিন বছর ধরে নগদ ইসলামী কেমএফেস অ্যাকাউন্ট আছে আপনাদেরইর সাথে আপনারা চাইলেই মোবাইলে লেনদেন করতে পারেন এবং লেনদেনের নানান রকম সুবিধা উপভোগ করতে পারবেন এখন সুদবিহীন এই নগদ ইসলামীকে ভেফে সাাকাউন্ট থেকে শুনছেন ঢাকা এফামদানি পয়েন্ট ফর এাকনিনেশন এক্সটেশন</v>
      </c>
      <c r="D4" s="2" t="str">
        <f>IFERROR(__xludf.DUMMYFUNCTION("""COMPUTED_VALUE"""),"No")</f>
        <v>No</v>
      </c>
      <c r="E4" s="2" t="str">
        <f>IFERROR(__xludf.DUMMYFUNCTION("""COMPUTED_VALUE"""),"Yes")</f>
        <v>Yes</v>
      </c>
      <c r="F4" s="2" t="str">
        <f>IFERROR(__xludf.DUMMYFUNCTION("""COMPUTED_VALUE"""),"Yes")</f>
        <v>Yes</v>
      </c>
      <c r="G4" s="2">
        <f>IFERROR(__xludf.DUMMYFUNCTION("""COMPUTED_VALUE"""),0.5)</f>
        <v>0.5</v>
      </c>
      <c r="H4" s="2">
        <f>IFERROR(__xludf.DUMMYFUNCTION("""COMPUTED_VALUE"""),0.5)</f>
        <v>0.5</v>
      </c>
      <c r="I4" s="2">
        <f>IFERROR(__xludf.DUMMYFUNCTION("""COMPUTED_VALUE"""),0.0)</f>
        <v>0</v>
      </c>
      <c r="J4" s="2">
        <f>IFERROR(__xludf.DUMMYFUNCTION("""COMPUTED_VALUE"""),0.0)</f>
        <v>0</v>
      </c>
      <c r="K4" s="2" t="str">
        <f>IFERROR(__xludf.DUMMYFUNCTION("""COMPUTED_VALUE"""),"2 - Poor quality Noisy, unclear,")</f>
        <v>2 - Poor quality Noisy, unclear,</v>
      </c>
      <c r="L4" s="2" t="str">
        <f>IFERROR(__xludf.DUMMYFUNCTION("""COMPUTED_VALUE"""),"Yes")</f>
        <v>Yes</v>
      </c>
    </row>
    <row r="5">
      <c r="A5" s="2" t="str">
        <f>IFERROR(__xludf.DUMMYFUNCTION("""COMPUTED_VALUE"""),"collect/miscellaneous/Dhaka FM/DFM - AUDIO CLIP (03-01-2023)/3be532eb-1452-41ae-9f94-6558ed7964fa.flac")</f>
        <v>collect/miscellaneous/Dhaka FM/DFM - AUDIO CLIP (03-01-2023)/3be532eb-1452-41ae-9f94-6558ed7964fa.flac</v>
      </c>
      <c r="B5" s="2">
        <f>IFERROR(__xludf.DUMMYFUNCTION("""COMPUTED_VALUE"""),30.0)</f>
        <v>30</v>
      </c>
      <c r="C5" s="2" t="str">
        <f>IFERROR(__xludf.DUMMYFUNCTION("""COMPUTED_VALUE"""),"এটি মিলিয়ে কিংবা দুধের সাথে বা চায়ের সাথে পুরোনো ঢাকা কেনন নতুন ঢাকার মানুষ জন্য খেতে বেশ পছন্দ করা এখন এবং আপনি যদি খুঁজে দেখেন প্রত্যেকটার এলাকায় খুঁজলে একটা না একটা মধ্যে ছোট্ট একটা বাকরখানের দোকান পাবেন যেখানে চিনিসহ এবং চিনি ছাড়া পাতলা মোটা বাকরখানিগ"&amp;"ুলি পাওয়া যায়ত হবে পাতলা বা করখানিগুলো না ম্যাক্সিম আমি ওয়া গেলেও নতুন ঢাকাতে এখন কিন্তু একটু একটু করে তৈরি হচ্ছে ভারী বাকরকানিটার সাথে ত বাকরখানি অলসো ইস লাইকভেনিজ চেস্টি")</f>
        <v>এটি মিলিয়ে কিংবা দুধের সাথে বা চায়ের সাথে পুরোনো ঢাকা কেনন নতুন ঢাকার মানুষ জন্য খেতে বেশ পছন্দ করা এখন এবং আপনি যদি খুঁজে দেখেন প্রত্যেকটার এলাকায় খুঁজলে একটা না একটা মধ্যে ছোট্ট একটা বাকরখানের দোকান পাবেন যেখানে চিনিসহ এবং চিনি ছাড়া পাতলা মোটা বাকরখানিগুলি পাওয়া যায়ত হবে পাতলা বা করখানিগুলো না ম্যাক্সিম আমি ওয়া গেলেও নতুন ঢাকাতে এখন কিন্তু একটু একটু করে তৈরি হচ্ছে ভারী বাকরকানিটার সাথে ত বাকরখানি অলসো ইস লাইকভেনিজ চেস্টি</v>
      </c>
      <c r="D5" s="2" t="str">
        <f>IFERROR(__xludf.DUMMYFUNCTION("""COMPUTED_VALUE"""),"No")</f>
        <v>No</v>
      </c>
      <c r="E5" s="2" t="str">
        <f>IFERROR(__xludf.DUMMYFUNCTION("""COMPUTED_VALUE"""),"Yes")</f>
        <v>Yes</v>
      </c>
      <c r="F5" s="2" t="str">
        <f>IFERROR(__xludf.DUMMYFUNCTION("""COMPUTED_VALUE"""),"Yes")</f>
        <v>Yes</v>
      </c>
      <c r="G5" s="2">
        <f>IFERROR(__xludf.DUMMYFUNCTION("""COMPUTED_VALUE"""),0.5)</f>
        <v>0.5</v>
      </c>
      <c r="H5" s="2">
        <f>IFERROR(__xludf.DUMMYFUNCTION("""COMPUTED_VALUE"""),0.5)</f>
        <v>0.5</v>
      </c>
      <c r="I5" s="2">
        <f>IFERROR(__xludf.DUMMYFUNCTION("""COMPUTED_VALUE"""),0.5)</f>
        <v>0.5</v>
      </c>
      <c r="J5" s="2">
        <f>IFERROR(__xludf.DUMMYFUNCTION("""COMPUTED_VALUE"""),0.0)</f>
        <v>0</v>
      </c>
      <c r="K5" s="2" t="str">
        <f>IFERROR(__xludf.DUMMYFUNCTION("""COMPUTED_VALUE"""),"3 – Mixed language or inconsistent quality")</f>
        <v>3 – Mixed language or inconsistent quality</v>
      </c>
      <c r="L5" s="2" t="str">
        <f>IFERROR(__xludf.DUMMYFUNCTION("""COMPUTED_VALUE"""),"No")</f>
        <v>No</v>
      </c>
    </row>
    <row r="6">
      <c r="A6" s="2" t="str">
        <f>IFERROR(__xludf.DUMMYFUNCTION("""COMPUTED_VALUE"""),"collect/miscellaneous/Dhaka FM/DFM - AUDIO CLIP (03-01-2023)/4a3f8d86-a969-4ebf-8239-cf2e0151e14c.flac")</f>
        <v>collect/miscellaneous/Dhaka FM/DFM - AUDIO CLIP (03-01-2023)/4a3f8d86-a969-4ebf-8239-cf2e0151e14c.flac</v>
      </c>
      <c r="B6" s="2">
        <f>IFERROR(__xludf.DUMMYFUNCTION("""COMPUTED_VALUE"""),30.0)</f>
        <v>30</v>
      </c>
      <c r="C6" s="2" t="str">
        <f>IFERROR(__xludf.DUMMYFUNCTION("""COMPUTED_VALUE"""),"নগুদ ইদ শোপিং অপ্টুড সাবেদন ডিয়েলিসনারেশনশন ঢাকায় ফ্যানদানি পয়েন্ট ফোর এক মিনশন আইক্স্টেকেশন শান্ত পনার সঙ্গে আছি এবং শুরু হয়ে গেছে নগদ ঈদ শপিং আফ ডেড এবং নগদী ৎশপিং আফদেটায় আমরা যেটা শুনব সেটা হচ্ছে যে শপিং মলগুলোর অবস্থা কি এবং মানুষ জোনা সলে কতখালি মলে"&amp;" ঘুলঘুল করছেন বা কেনাকাটা করছেন চলেন আার কথা না বাড়িয়ে সরাসরি চলে যে পিঙ্কাপুর কাছে জেনে নেই নগদীচ শপিং আফ ডা ধন্যবাদ তো আমি এখন আছি ফ্যামুলি স্কয়ারের ভেতরে আন দেখতে পারে সেখানে ভালোই ভিয়ে আছে যেহেতু")</f>
        <v>নগুদ ইদ শোপিং অপ্টুড সাবেদন ডিয়েলিসনারেশনশন ঢাকায় ফ্যানদানি পয়েন্ট ফোর এক মিনশন আইক্স্টেকেশন শান্ত পনার সঙ্গে আছি এবং শুরু হয়ে গেছে নগদ ঈদ শপিং আফ ডেড এবং নগদী ৎশপিং আফদেটায় আমরা যেটা শুনব সেটা হচ্ছে যে শপিং মলগুলোর অবস্থা কি এবং মানুষ জোনা সলে কতখালি মলে ঘুলঘুল করছেন বা কেনাকাটা করছেন চলেন আার কথা না বাড়িয়ে সরাসরি চলে যে পিঙ্কাপুর কাছে জেনে নেই নগদীচ শপিং আফ ডা ধন্যবাদ তো আমি এখন আছি ফ্যামুলি স্কয়ারের ভেতরে আন দেখতে পারে সেখানে ভালোই ভিয়ে আছে যেহেতু</v>
      </c>
      <c r="D6" s="2" t="str">
        <f>IFERROR(__xludf.DUMMYFUNCTION("""COMPUTED_VALUE"""),"No")</f>
        <v>No</v>
      </c>
      <c r="E6" s="2" t="str">
        <f>IFERROR(__xludf.DUMMYFUNCTION("""COMPUTED_VALUE"""),"Yes")</f>
        <v>Yes</v>
      </c>
      <c r="F6" s="2" t="str">
        <f>IFERROR(__xludf.DUMMYFUNCTION("""COMPUTED_VALUE"""),"Yes")</f>
        <v>Yes</v>
      </c>
      <c r="G6" s="2">
        <f>IFERROR(__xludf.DUMMYFUNCTION("""COMPUTED_VALUE"""),0.0)</f>
        <v>0</v>
      </c>
      <c r="H6" s="2">
        <f>IFERROR(__xludf.DUMMYFUNCTION("""COMPUTED_VALUE"""),0.0)</f>
        <v>0</v>
      </c>
      <c r="I6" s="2">
        <f>IFERROR(__xludf.DUMMYFUNCTION("""COMPUTED_VALUE"""),0.0)</f>
        <v>0</v>
      </c>
      <c r="J6" s="2">
        <f>IFERROR(__xludf.DUMMYFUNCTION("""COMPUTED_VALUE"""),0.0)</f>
        <v>0</v>
      </c>
      <c r="K6" s="2" t="str">
        <f>IFERROR(__xludf.DUMMYFUNCTION("""COMPUTED_VALUE"""),"1 - Unusable Severely degraded, or non-Bangla")</f>
        <v>1 - Unusable Severely degraded, or non-Bangla</v>
      </c>
      <c r="L6" s="2" t="str">
        <f>IFERROR(__xludf.DUMMYFUNCTION("""COMPUTED_VALUE"""),"Yes")</f>
        <v>Yes</v>
      </c>
    </row>
    <row r="7">
      <c r="A7" s="2" t="str">
        <f>IFERROR(__xludf.DUMMYFUNCTION("""COMPUTED_VALUE"""),"5b854647-cc53-404f-9e39-e4f7dbfc46ff")</f>
        <v>5b854647-cc53-404f-9e39-e4f7dbfc46ff</v>
      </c>
      <c r="B7" s="2">
        <f>IFERROR(__xludf.DUMMYFUNCTION("""COMPUTED_VALUE"""),30.0)</f>
        <v>30</v>
      </c>
      <c r="C7" s="2" t="str">
        <f>IFERROR(__xludf.DUMMYFUNCTION("""COMPUTED_VALUE"""),"কিনতে ছি এই তো সব মিলিয়েই ভালো াথে ইলেকট্রনিকসের জিনিসও কেনা হয়েছে এবার যে যে অবশ্যই অনেক ভালো ইলেকট্রেনিক পণ্য আসছে সেজন্য একটু একটু করে কিনতেছি তাই ভালোই লাগছেছে থ্যাংকিউস ও মাস ভায় আপনাকে ইদেরে অগ্রিমশু হয়েছে জানাচ্ছি এবং আমাদেরকে সময় দেওয়ার জন্য ধন্যব"&amp;"াদ ধন্যাদ পএবং খতে চাচ্ছি কেনাকাটার পেরমেন্টে আপনাদের বেশি লাভ দিতেই নগদ নিয়ে এসেছে দারুণ গ্যাশ ব্যাক এবং ডিসকাউন্ট অফার পবিত্র মাহে রঅমজান এবং ঈদ উপলক্ষে আপনি যদি র‌্যাংস ইলেকট্রনিক্সে নগদের মাধ্যে")</f>
        <v>কিনতে ছি এই তো সব মিলিয়েই ভালো াথে ইলেকট্রনিকসের জিনিসও কেনা হয়েছে এবার যে যে অবশ্যই অনেক ভালো ইলেকট্রেনিক পণ্য আসছে সেজন্য একটু একটু করে কিনতেছি তাই ভালোই লাগছেছে থ্যাংকিউস ও মাস ভায় আপনাকে ইদেরে অগ্রিমশু হয়েছে জানাচ্ছি এবং আমাদেরকে সময় দেওয়ার জন্য ধন্যবাদ ধন্যাদ পএবং খতে চাচ্ছি কেনাকাটার পেরমেন্টে আপনাদের বেশি লাভ দিতেই নগদ নিয়ে এসেছে দারুণ গ্যাশ ব্যাক এবং ডিসকাউন্ট অফার পবিত্র মাহে রঅমজান এবং ঈদ উপলক্ষে আপনি যদি র‌্যাংস ইলেকট্রনিক্সে নগদের মাধ্যে</v>
      </c>
      <c r="D7" s="2" t="str">
        <f>IFERROR(__xludf.DUMMYFUNCTION("""COMPUTED_VALUE"""),"No")</f>
        <v>No</v>
      </c>
      <c r="E7" s="2" t="str">
        <f>IFERROR(__xludf.DUMMYFUNCTION("""COMPUTED_VALUE"""),"Yes")</f>
        <v>Yes</v>
      </c>
      <c r="F7" s="2" t="str">
        <f>IFERROR(__xludf.DUMMYFUNCTION("""COMPUTED_VALUE"""),"Yes")</f>
        <v>Yes</v>
      </c>
      <c r="G7" s="2">
        <f>IFERROR(__xludf.DUMMYFUNCTION("""COMPUTED_VALUE"""),0.0)</f>
        <v>0</v>
      </c>
      <c r="H7" s="2">
        <f>IFERROR(__xludf.DUMMYFUNCTION("""COMPUTED_VALUE"""),0.0)</f>
        <v>0</v>
      </c>
      <c r="I7" s="2">
        <f>IFERROR(__xludf.DUMMYFUNCTION("""COMPUTED_VALUE"""),0.0)</f>
        <v>0</v>
      </c>
      <c r="J7" s="2">
        <f>IFERROR(__xludf.DUMMYFUNCTION("""COMPUTED_VALUE"""),0.0)</f>
        <v>0</v>
      </c>
      <c r="K7" s="2" t="str">
        <f>IFERROR(__xludf.DUMMYFUNCTION("""COMPUTED_VALUE"""),"1 - Unusable Severely degraded, or non-Bangla")</f>
        <v>1 - Unusable Severely degraded, or non-Bangla</v>
      </c>
      <c r="L7" s="2" t="str">
        <f>IFERROR(__xludf.DUMMYFUNCTION("""COMPUTED_VALUE"""),"Yes")</f>
        <v>Yes</v>
      </c>
    </row>
    <row r="8">
      <c r="A8" s="2" t="str">
        <f>IFERROR(__xludf.DUMMYFUNCTION("""COMPUTED_VALUE"""),"collect/miscellaneous/Dhaka FM/DFM - AUDIO CLIP (03-01-2023)/6adf6711-83d3-4722-9619-9d56a15318e7.flac")</f>
        <v>collect/miscellaneous/Dhaka FM/DFM - AUDIO CLIP (03-01-2023)/6adf6711-83d3-4722-9619-9d56a15318e7.flac</v>
      </c>
      <c r="B8" s="2">
        <f>IFERROR(__xludf.DUMMYFUNCTION("""COMPUTED_VALUE"""),24.421)</f>
        <v>24.421</v>
      </c>
      <c r="C8" s="2" t="str">
        <f>IFERROR(__xludf.DUMMYFUNCTION("""COMPUTED_VALUE"""),"আাদের মায়েরা আমাদের যারা গৃহীণীরা আছেন তারা কিন্তু আমাদের যে অনেক বেশি কাজ করেন এবং ওয়ার্ল্ডার একটা সমীক্ষায় দেখা গেছে মেয়েরা পুরুষের চাইত্বে কিন্তু এনটাপোর্শন পরিমাণ কাজ বেশি করেন এবং সেটা বিনা বেতনে অে তারাও কিন্তু মেলা ব্যস্ত থাকে চলেজ দেস্ট্রাইটিস ক্র"&amp;"ি যাওয়ার টাইম থ্রোস আমে খাইন্ড অফ ইজিট্রিক ওকে ওকে নাওকে ই কাপ দেশে")</f>
        <v>আাদের মায়েরা আমাদের যারা গৃহীণীরা আছেন তারা কিন্তু আমাদের যে অনেক বেশি কাজ করেন এবং ওয়ার্ল্ডার একটা সমীক্ষায় দেখা গেছে মেয়েরা পুরুষের চাইত্বে কিন্তু এনটাপোর্শন পরিমাণ কাজ বেশি করেন এবং সেটা বিনা বেতনে অে তারাও কিন্তু মেলা ব্যস্ত থাকে চলেজ দেস্ট্রাইটিস ক্রি যাওয়ার টাইম থ্রোস আমে খাইন্ড অফ ইজিট্রিক ওকে ওকে নাওকে ই কাপ দেশে</v>
      </c>
      <c r="D8" s="2" t="str">
        <f>IFERROR(__xludf.DUMMYFUNCTION("""COMPUTED_VALUE"""),"No")</f>
        <v>No</v>
      </c>
      <c r="E8" s="2" t="str">
        <f>IFERROR(__xludf.DUMMYFUNCTION("""COMPUTED_VALUE"""),"Yes")</f>
        <v>Yes</v>
      </c>
      <c r="F8" s="2" t="str">
        <f>IFERROR(__xludf.DUMMYFUNCTION("""COMPUTED_VALUE"""),"Yes")</f>
        <v>Yes</v>
      </c>
      <c r="G8" s="2">
        <f>IFERROR(__xludf.DUMMYFUNCTION("""COMPUTED_VALUE"""),0.0)</f>
        <v>0</v>
      </c>
      <c r="H8" s="2">
        <f>IFERROR(__xludf.DUMMYFUNCTION("""COMPUTED_VALUE"""),0.0)</f>
        <v>0</v>
      </c>
      <c r="I8" s="2">
        <f>IFERROR(__xludf.DUMMYFUNCTION("""COMPUTED_VALUE"""),0.0)</f>
        <v>0</v>
      </c>
      <c r="J8" s="2">
        <f>IFERROR(__xludf.DUMMYFUNCTION("""COMPUTED_VALUE"""),0.0)</f>
        <v>0</v>
      </c>
      <c r="K8" s="2" t="str">
        <f>IFERROR(__xludf.DUMMYFUNCTION("""COMPUTED_VALUE"""),"1 - Unusable Severely degraded, or non-Bangla")</f>
        <v>1 - Unusable Severely degraded, or non-Bangla</v>
      </c>
      <c r="L8" s="2" t="str">
        <f>IFERROR(__xludf.DUMMYFUNCTION("""COMPUTED_VALUE"""),"Yes")</f>
        <v>Yes</v>
      </c>
    </row>
    <row r="9">
      <c r="A9" s="2" t="str">
        <f>IFERROR(__xludf.DUMMYFUNCTION("""COMPUTED_VALUE"""),"collect/miscellaneous/Dhaka FM/DFM - AUDIO CLIP (03-01-2023)/07f0e903-21a8-439f-be7a-4c7f64604e86.flac")</f>
        <v>collect/miscellaneous/Dhaka FM/DFM - AUDIO CLIP (03-01-2023)/07f0e903-21a8-439f-be7a-4c7f64604e86.flac</v>
      </c>
      <c r="B9" s="2">
        <f>IFERROR(__xludf.DUMMYFUNCTION("""COMPUTED_VALUE"""),9.448)</f>
        <v>9.448</v>
      </c>
      <c r="C9" s="2" t="str">
        <f>IFERROR(__xludf.DUMMYFUNCTION("""COMPUTED_VALUE"""),"ন তারা কিন্তু চট করে আমার সাথে যুক্ত হয়ে যেতে পারেন যেরা ানেটফর ওয়ান লাইন্জের ওপর র নাইন্জেরোফোর হচ্ছে ওয়াজস্যাপের নাম পারলেস এন্ জয়াদ ট্রাক")</f>
        <v>ন তারা কিন্তু চট করে আমার সাথে যুক্ত হয়ে যেতে পারেন যেরা ানেটফর ওয়ান লাইন্জের ওপর র নাইন্জেরোফোর হচ্ছে ওয়াজস্যাপের নাম পারলেস এন্ জয়াদ ট্রাক</v>
      </c>
      <c r="D9" s="2" t="str">
        <f>IFERROR(__xludf.DUMMYFUNCTION("""COMPUTED_VALUE"""),"No")</f>
        <v>No</v>
      </c>
      <c r="E9" s="2" t="str">
        <f>IFERROR(__xludf.DUMMYFUNCTION("""COMPUTED_VALUE"""),"Yes")</f>
        <v>Yes</v>
      </c>
      <c r="F9" s="2" t="str">
        <f>IFERROR(__xludf.DUMMYFUNCTION("""COMPUTED_VALUE"""),"Yes")</f>
        <v>Yes</v>
      </c>
      <c r="G9" s="2">
        <f>IFERROR(__xludf.DUMMYFUNCTION("""COMPUTED_VALUE"""),0.0)</f>
        <v>0</v>
      </c>
      <c r="H9" s="2">
        <f>IFERROR(__xludf.DUMMYFUNCTION("""COMPUTED_VALUE"""),0.0)</f>
        <v>0</v>
      </c>
      <c r="I9" s="2">
        <f>IFERROR(__xludf.DUMMYFUNCTION("""COMPUTED_VALUE"""),0.0)</f>
        <v>0</v>
      </c>
      <c r="J9" s="2">
        <f>IFERROR(__xludf.DUMMYFUNCTION("""COMPUTED_VALUE"""),0.0)</f>
        <v>0</v>
      </c>
      <c r="K9" s="2"/>
      <c r="L9" s="2" t="str">
        <f>IFERROR(__xludf.DUMMYFUNCTION("""COMPUTED_VALUE"""),"Yes")</f>
        <v>Yes</v>
      </c>
    </row>
    <row r="10">
      <c r="A10" s="2" t="str">
        <f>IFERROR(__xludf.DUMMYFUNCTION("""COMPUTED_VALUE"""),"collect/miscellaneous/Dhaka FM/DFM - AUDIO CLIP (03-01-2023)/8b73bee0-39d3-43b4-b639-7201cf618063.flac")</f>
        <v>collect/miscellaneous/Dhaka FM/DFM - AUDIO CLIP (03-01-2023)/8b73bee0-39d3-43b4-b639-7201cf618063.flac</v>
      </c>
      <c r="B10" s="2">
        <f>IFERROR(__xludf.DUMMYFUNCTION("""COMPUTED_VALUE"""),30.0)</f>
        <v>30</v>
      </c>
      <c r="C10" s="2" t="str">
        <f>IFERROR(__xludf.DUMMYFUNCTION("""COMPUTED_VALUE"""),"সবাই একটু জানি স বাজের আজকে মানে ডিসকারস করা তা আসকে আমরা শুরু করেছি ঢাকার ঐতিহ্যভাইে কিছু খাবার দিয়ে সেটা পুরনো ঢাকারও হতে পারেন নতুন ঢাকারো হতে পরে ওয়ারাজ আমি কথা বলছিলাম পুরোনো ঢাকার সে ডাল টুটি নিয়ে সো ডাল রুটির উৎসটা কোথায় সেটা জানা যেব অনেকে মনে করে"&amp;" যেটা ভারতীয় খাবার মোটেই তা নয় যেমন রস্যগোল্লা ইলিসেগুলি সব বাংলাদেশের বাবা এটান কে হবে আবারকেও এটির জন্মর বাংলাদেশে বিশেষ করে ঢাকায় অবশ্য")</f>
        <v>সবাই একটু জানি স বাজের আজকে মানে ডিসকারস করা তা আসকে আমরা শুরু করেছি ঢাকার ঐতিহ্যভাইে কিছু খাবার দিয়ে সেটা পুরনো ঢাকারও হতে পারেন নতুন ঢাকারো হতে পরে ওয়ারাজ আমি কথা বলছিলাম পুরোনো ঢাকার সে ডাল টুটি নিয়ে সো ডাল রুটির উৎসটা কোথায় সেটা জানা যেব অনেকে মনে করে যেটা ভারতীয় খাবার মোটেই তা নয় যেমন রস্যগোল্লা ইলিসেগুলি সব বাংলাদেশের বাবা এটান কে হবে আবারকেও এটির জন্মর বাংলাদেশে বিশেষ করে ঢাকায় অবশ্য</v>
      </c>
      <c r="D10" s="2" t="str">
        <f>IFERROR(__xludf.DUMMYFUNCTION("""COMPUTED_VALUE"""),"No")</f>
        <v>No</v>
      </c>
      <c r="E10" s="2" t="str">
        <f>IFERROR(__xludf.DUMMYFUNCTION("""COMPUTED_VALUE"""),"Yes")</f>
        <v>Yes</v>
      </c>
      <c r="F10" s="2" t="str">
        <f>IFERROR(__xludf.DUMMYFUNCTION("""COMPUTED_VALUE"""),"Yes")</f>
        <v>Yes</v>
      </c>
      <c r="G10" s="2">
        <f>IFERROR(__xludf.DUMMYFUNCTION("""COMPUTED_VALUE"""),0.0)</f>
        <v>0</v>
      </c>
      <c r="H10" s="2">
        <f>IFERROR(__xludf.DUMMYFUNCTION("""COMPUTED_VALUE"""),0.0)</f>
        <v>0</v>
      </c>
      <c r="I10" s="2">
        <f>IFERROR(__xludf.DUMMYFUNCTION("""COMPUTED_VALUE"""),0.0)</f>
        <v>0</v>
      </c>
      <c r="J10" s="2">
        <f>IFERROR(__xludf.DUMMYFUNCTION("""COMPUTED_VALUE"""),0.0)</f>
        <v>0</v>
      </c>
      <c r="K10" s="2" t="str">
        <f>IFERROR(__xludf.DUMMYFUNCTION("""COMPUTED_VALUE"""),"1 - Unusable Severely degraded, or non-Bangla")</f>
        <v>1 - Unusable Severely degraded, or non-Bangla</v>
      </c>
      <c r="L10" s="2" t="str">
        <f>IFERROR(__xludf.DUMMYFUNCTION("""COMPUTED_VALUE"""),"No")</f>
        <v>No</v>
      </c>
    </row>
    <row r="11">
      <c r="A11" s="2" t="str">
        <f>IFERROR(__xludf.DUMMYFUNCTION("""COMPUTED_VALUE"""),"collect/miscellaneous/Dhaka FM/DFM - AUDIO CLIP (03-01-2023)/8ece0cee-3d6e-44c9-9758-a456fb8c0855.flac")</f>
        <v>collect/miscellaneous/Dhaka FM/DFM - AUDIO CLIP (03-01-2023)/8ece0cee-3d6e-44c9-9758-a456fb8c0855.flac</v>
      </c>
      <c r="B11" s="2">
        <f>IFERROR(__xludf.DUMMYFUNCTION("""COMPUTED_VALUE"""),30.0)</f>
        <v>30</v>
      </c>
      <c r="C11" s="2" t="str">
        <f>IFERROR(__xludf.DUMMYFUNCTION("""COMPUTED_VALUE"""),"লাইফ হ্যাকস ্াক্স হেভারেন্স ওয়েলকামটু ঢাকায় ফেম ন ইনি ভয়ন ফোরর চলছে লাইফ আক্সউইচরিতে আর না ওয়ারে ওয়ানে সেদারিজে স্যাম্টারিস আমাদের স্ক্রিন কিন্তু অনেক সময় রাফ হয়ে যায় এবং মনে হয় যন স্ক্রিনটা কেমন জানি ডাল হয়ে যাচ্ছে কেমন জানি হয়ে যাচ্ছে ইউকেন ডু ওয়ানথেং দ"&amp;"্যডিজ আমাদের হাতের কাছে এগুলো থাকে তিষি আছে না বাজারে কিন্তু তৃষি কিনতেই পাওয়া যায় যেটাকে আমরা বলি ফ্ল্যাক্স সেট ওকে সেই তিরষিটা নেবেন")</f>
        <v>লাইফ হ্যাকস ্াক্স হেভারেন্স ওয়েলকামটু ঢাকায় ফেম ন ইনি ভয়ন ফোরর চলছে লাইফ আক্সউইচরিতে আর না ওয়ারে ওয়ানে সেদারিজে স্যাম্টারিস আমাদের স্ক্রিন কিন্তু অনেক সময় রাফ হয়ে যায় এবং মনে হয় যন স্ক্রিনটা কেমন জানি ডাল হয়ে যাচ্ছে কেমন জানি হয়ে যাচ্ছে ইউকেন ডু ওয়ানথেং দ্যডিজ আমাদের হাতের কাছে এগুলো থাকে তিষি আছে না বাজারে কিন্তু তৃষি কিনতেই পাওয়া যায় যেটাকে আমরা বলি ফ্ল্যাক্স সেট ওকে সেই তিরষিটা নেবেন</v>
      </c>
      <c r="D11" s="2" t="str">
        <f>IFERROR(__xludf.DUMMYFUNCTION("""COMPUTED_VALUE"""),"No")</f>
        <v>No</v>
      </c>
      <c r="E11" s="2" t="str">
        <f>IFERROR(__xludf.DUMMYFUNCTION("""COMPUTED_VALUE"""),"Yes")</f>
        <v>Yes</v>
      </c>
      <c r="F11" s="2" t="str">
        <f>IFERROR(__xludf.DUMMYFUNCTION("""COMPUTED_VALUE"""),"Yes")</f>
        <v>Yes</v>
      </c>
      <c r="G11" s="2">
        <f>IFERROR(__xludf.DUMMYFUNCTION("""COMPUTED_VALUE"""),0.0)</f>
        <v>0</v>
      </c>
      <c r="H11" s="2">
        <f>IFERROR(__xludf.DUMMYFUNCTION("""COMPUTED_VALUE"""),0.0)</f>
        <v>0</v>
      </c>
      <c r="I11" s="2">
        <f>IFERROR(__xludf.DUMMYFUNCTION("""COMPUTED_VALUE"""),0.0)</f>
        <v>0</v>
      </c>
      <c r="J11" s="2">
        <f>IFERROR(__xludf.DUMMYFUNCTION("""COMPUTED_VALUE"""),0.0)</f>
        <v>0</v>
      </c>
      <c r="K11" s="2" t="str">
        <f>IFERROR(__xludf.DUMMYFUNCTION("""COMPUTED_VALUE"""),"1 - Unusable Severely degraded, or non-Bangla")</f>
        <v>1 - Unusable Severely degraded, or non-Bangla</v>
      </c>
      <c r="L11" s="2" t="str">
        <f>IFERROR(__xludf.DUMMYFUNCTION("""COMPUTED_VALUE"""),"Yes")</f>
        <v>Yes</v>
      </c>
    </row>
    <row r="12">
      <c r="A12" s="2" t="str">
        <f>IFERROR(__xludf.DUMMYFUNCTION("""COMPUTED_VALUE"""),"collect/miscellaneous/Dhaka FM/DFM - AUDIO CLIP (03-01-2023)/25cf1247-cba1-471a-97a0-87b095b2fa5f.flac")</f>
        <v>collect/miscellaneous/Dhaka FM/DFM - AUDIO CLIP (03-01-2023)/25cf1247-cba1-471a-97a0-87b095b2fa5f.flac</v>
      </c>
      <c r="B12" s="2">
        <f>IFERROR(__xludf.DUMMYFUNCTION("""COMPUTED_VALUE"""),30.0)</f>
        <v>30</v>
      </c>
      <c r="C12" s="2" t="str">
        <f>IFERROR(__xludf.DUMMYFUNCTION("""COMPUTED_VALUE"""),"যাবেন হোক সেটি বাড়ির কাছের কোনো টঙয়ের দোকান বা কাঁচাবাজার যেখানেই যাবেন অবশ্যই মাস্ক পরিধান করতে হবে আারবার সাবান পানিদের হাত ধোয়া এই নিয়মগুলো মেনে চলতেই হবে এবং ঘরে থাকাকালীন পরিবারের সদস্যদের কাজেই পারস্পরিক সহায়তা করুন শিশুদের সময় দিন মানসিক শারীরিক ও "&amp;"পারিবারিকভাবে সুস্থ থাকুন নিয়ম মেনে সবাই এরসাথে করোনা ঠেকাই সহযোগিতায় এইচবিসিসি ইউকেইড ইউনিলিভার জনস্বার্থে ব্র্যাক")</f>
        <v>যাবেন হোক সেটি বাড়ির কাছের কোনো টঙয়ের দোকান বা কাঁচাবাজার যেখানেই যাবেন অবশ্যই মাস্ক পরিধান করতে হবে আারবার সাবান পানিদের হাত ধোয়া এই নিয়মগুলো মেনে চলতেই হবে এবং ঘরে থাকাকালীন পরিবারের সদস্যদের কাজেই পারস্পরিক সহায়তা করুন শিশুদের সময় দিন মানসিক শারীরিক ও পারিবারিকভাবে সুস্থ থাকুন নিয়ম মেনে সবাই এরসাথে করোনা ঠেকাই সহযোগিতায় এইচবিসিসি ইউকেইড ইউনিলিভার জনস্বার্থে ব্র্যাক</v>
      </c>
      <c r="D12" s="2" t="str">
        <f>IFERROR(__xludf.DUMMYFUNCTION("""COMPUTED_VALUE"""),"Yes")</f>
        <v>Yes</v>
      </c>
      <c r="E12" s="2" t="str">
        <f>IFERROR(__xludf.DUMMYFUNCTION("""COMPUTED_VALUE"""),"No")</f>
        <v>No</v>
      </c>
      <c r="F12" s="2" t="str">
        <f>IFERROR(__xludf.DUMMYFUNCTION("""COMPUTED_VALUE"""),"Yes")</f>
        <v>Yes</v>
      </c>
      <c r="G12" s="2">
        <f>IFERROR(__xludf.DUMMYFUNCTION("""COMPUTED_VALUE"""),0.5)</f>
        <v>0.5</v>
      </c>
      <c r="H12" s="2">
        <f>IFERROR(__xludf.DUMMYFUNCTION("""COMPUTED_VALUE"""),0.5)</f>
        <v>0.5</v>
      </c>
      <c r="I12" s="2">
        <f>IFERROR(__xludf.DUMMYFUNCTION("""COMPUTED_VALUE"""),1.0)</f>
        <v>1</v>
      </c>
      <c r="J12" s="2">
        <f>IFERROR(__xludf.DUMMYFUNCTION("""COMPUTED_VALUE"""),0.0)</f>
        <v>0</v>
      </c>
      <c r="K12" s="2" t="str">
        <f>IFERROR(__xludf.DUMMYFUNCTION("""COMPUTED_VALUE"""),"4– Usable, minor flaws Minor background noise.")</f>
        <v>4– Usable, minor flaws Minor background noise.</v>
      </c>
      <c r="L12" s="2" t="str">
        <f>IFERROR(__xludf.DUMMYFUNCTION("""COMPUTED_VALUE"""),"Yes")</f>
        <v>Yes</v>
      </c>
    </row>
    <row r="13">
      <c r="A13" s="2" t="str">
        <f>IFERROR(__xludf.DUMMYFUNCTION("""COMPUTED_VALUE"""),"collect/miscellaneous/Dhaka FM/DFM - AUDIO CLIP (03-01-2023)/47baf3b9-58de-4b40-8433-80ad260a5f02.flac")</f>
        <v>collect/miscellaneous/Dhaka FM/DFM - AUDIO CLIP (03-01-2023)/47baf3b9-58de-4b40-8433-80ad260a5f02.flac</v>
      </c>
      <c r="B13" s="2">
        <f>IFERROR(__xludf.DUMMYFUNCTION("""COMPUTED_VALUE"""),30.0)</f>
        <v>30</v>
      </c>
      <c r="C13" s="2" t="str">
        <f>IFERROR(__xludf.DUMMYFUNCTION("""COMPUTED_VALUE"""),"যারা স্পেইশ সেরি ঢাকায় নাইটি পয়েন্ট ফোর ফেইসবুক স্ট্রিমিং দেশ এবং বাইরে থেকে দেখছেন এবং আমাদের ঢাকায় ফ্যামনাইন্টিফোরেন্ট ফোরে ফ্রিকেন্সি মডিউলে থ্রু দিয়ে পুরো বাংলাদেশে পৌঁছে যাচ্ছে যে আমাদের কণ্ঠসার তাদের সবাইক অনেক ভালোবাসা দারুণ শ্রদ্ধার সাথে স্বাগত জা"&amp;"নাচ্ছি ভালোবাসা বাংলাদেশের আজকের আয়োজনে আমরা কিন্তু নিজেরা ও স্পেশালি আমাদের পারো ডিস্পন্সর জুয়েলের নেতৃত্বে এই প্রোগ্রামটা যখন করিপুরো টিমের কেউ ভালো থাকক না থাকুক কষ্টে থাকুক অথবা অনেক বেশি")</f>
        <v>যারা স্পেইশ সেরি ঢাকায় নাইটি পয়েন্ট ফোর ফেইসবুক স্ট্রিমিং দেশ এবং বাইরে থেকে দেখছেন এবং আমাদের ঢাকায় ফ্যামনাইন্টিফোরেন্ট ফোরে ফ্রিকেন্সি মডিউলে থ্রু দিয়ে পুরো বাংলাদেশে পৌঁছে যাচ্ছে যে আমাদের কণ্ঠসার তাদের সবাইক অনেক ভালোবাসা দারুণ শ্রদ্ধার সাথে স্বাগত জানাচ্ছি ভালোবাসা বাংলাদেশের আজকের আয়োজনে আমরা কিন্তু নিজেরা ও স্পেশালি আমাদের পারো ডিস্পন্সর জুয়েলের নেতৃত্বে এই প্রোগ্রামটা যখন করিপুরো টিমের কেউ ভালো থাকক না থাকুক কষ্টে থাকুক অথবা অনেক বেশি</v>
      </c>
      <c r="D13" s="2" t="str">
        <f>IFERROR(__xludf.DUMMYFUNCTION("""COMPUTED_VALUE"""),"Yes")</f>
        <v>Yes</v>
      </c>
      <c r="E13" s="2" t="str">
        <f>IFERROR(__xludf.DUMMYFUNCTION("""COMPUTED_VALUE"""),"No")</f>
        <v>No</v>
      </c>
      <c r="F13" s="2" t="str">
        <f>IFERROR(__xludf.DUMMYFUNCTION("""COMPUTED_VALUE"""),"Yes")</f>
        <v>Yes</v>
      </c>
      <c r="G13" s="2">
        <f>IFERROR(__xludf.DUMMYFUNCTION("""COMPUTED_VALUE"""),0.5)</f>
        <v>0.5</v>
      </c>
      <c r="H13" s="2">
        <f>IFERROR(__xludf.DUMMYFUNCTION("""COMPUTED_VALUE"""),0.5)</f>
        <v>0.5</v>
      </c>
      <c r="I13" s="2">
        <f>IFERROR(__xludf.DUMMYFUNCTION("""COMPUTED_VALUE"""),0.5)</f>
        <v>0.5</v>
      </c>
      <c r="J13" s="2">
        <f>IFERROR(__xludf.DUMMYFUNCTION("""COMPUTED_VALUE"""),0.0)</f>
        <v>0</v>
      </c>
      <c r="K13" s="2" t="str">
        <f>IFERROR(__xludf.DUMMYFUNCTION("""COMPUTED_VALUE"""),"3 – Mixed language or inconsistent quality")</f>
        <v>3 – Mixed language or inconsistent quality</v>
      </c>
      <c r="L13" s="2" t="str">
        <f>IFERROR(__xludf.DUMMYFUNCTION("""COMPUTED_VALUE"""),"Yes")</f>
        <v>Yes</v>
      </c>
    </row>
    <row r="14">
      <c r="A14" s="2" t="str">
        <f>IFERROR(__xludf.DUMMYFUNCTION("""COMPUTED_VALUE"""),"collect/miscellaneous/Dhaka FM/DFM - AUDIO CLIP (03-01-2023)/61f13976-323d-412f-bbed-89696ed40770.flac")</f>
        <v>collect/miscellaneous/Dhaka FM/DFM - AUDIO CLIP (03-01-2023)/61f13976-323d-412f-bbed-89696ed40770.flac</v>
      </c>
      <c r="B14" s="2">
        <f>IFERROR(__xludf.DUMMYFUNCTION("""COMPUTED_VALUE"""),30.0)</f>
        <v>30</v>
      </c>
      <c r="C14" s="2" t="str">
        <f>IFERROR(__xludf.DUMMYFUNCTION("""COMPUTED_VALUE"""),"মেট্রোরেলের একটা ব্যাপার দেখলাম আমি মেট্রোরেল নাকি অনেকেই মানে উত্তরা থেকে টিকেট কেটে মিরপুর এসে দেখেন যে কেমন শীত পড়ল বার অনেক আছেন যে মিরপুর থেকে টিকেট কেটে উত্তরা গিয়ে দেখেন কেমন শীত পড়ল সেটা যাচাই ব্যাছাই করার জন্য আপনার নাকি মেট্রোরেলকে বেছে নিয়েনছেন"&amp;" তো এটা একটু বলে রাখে আপনাদেরকে যে মেট্রো রেলের যেই রোজগুলো দেয়া হয়েছে সেই রোজগুলো যদি াবে ভায়োলেটেড হয় তাহলে কিন্তু এক কোটি টাকার জরিমানার ব্যবস্থা করা হয়েছে এবং দশ বছরের কারাদণ্ড সো যদি কেউ এই রু")</f>
        <v>মেট্রোরেলের একটা ব্যাপার দেখলাম আমি মেট্রোরেল নাকি অনেকেই মানে উত্তরা থেকে টিকেট কেটে মিরপুর এসে দেখেন যে কেমন শীত পড়ল বার অনেক আছেন যে মিরপুর থেকে টিকেট কেটে উত্তরা গিয়ে দেখেন কেমন শীত পড়ল সেটা যাচাই ব্যাছাই করার জন্য আপনার নাকি মেট্রোরেলকে বেছে নিয়েনছেন তো এটা একটু বলে রাখে আপনাদেরকে যে মেট্রো রেলের যেই রোজগুলো দেয়া হয়েছে সেই রোজগুলো যদি াবে ভায়োলেটেড হয় তাহলে কিন্তু এক কোটি টাকার জরিমানার ব্যবস্থা করা হয়েছে এবং দশ বছরের কারাদণ্ড সো যদি কেউ এই রু</v>
      </c>
      <c r="D14" s="2" t="str">
        <f>IFERROR(__xludf.DUMMYFUNCTION("""COMPUTED_VALUE"""),"Yes")</f>
        <v>Yes</v>
      </c>
      <c r="E14" s="2" t="str">
        <f>IFERROR(__xludf.DUMMYFUNCTION("""COMPUTED_VALUE"""),"Yes")</f>
        <v>Yes</v>
      </c>
      <c r="F14" s="2" t="str">
        <f>IFERROR(__xludf.DUMMYFUNCTION("""COMPUTED_VALUE"""),"Yes")</f>
        <v>Yes</v>
      </c>
      <c r="G14" s="2">
        <f>IFERROR(__xludf.DUMMYFUNCTION("""COMPUTED_VALUE"""),0.5)</f>
        <v>0.5</v>
      </c>
      <c r="H14" s="2">
        <f>IFERROR(__xludf.DUMMYFUNCTION("""COMPUTED_VALUE"""),0.5)</f>
        <v>0.5</v>
      </c>
      <c r="I14" s="2">
        <f>IFERROR(__xludf.DUMMYFUNCTION("""COMPUTED_VALUE"""),0.5)</f>
        <v>0.5</v>
      </c>
      <c r="J14" s="2">
        <f>IFERROR(__xludf.DUMMYFUNCTION("""COMPUTED_VALUE"""),0.0)</f>
        <v>0</v>
      </c>
      <c r="K14" s="2" t="str">
        <f>IFERROR(__xludf.DUMMYFUNCTION("""COMPUTED_VALUE"""),"3 – Mixed language or inconsistent quality")</f>
        <v>3 – Mixed language or inconsistent quality</v>
      </c>
      <c r="L14" s="2" t="str">
        <f>IFERROR(__xludf.DUMMYFUNCTION("""COMPUTED_VALUE"""),"No")</f>
        <v>No</v>
      </c>
    </row>
    <row r="15">
      <c r="A15" s="2" t="str">
        <f>IFERROR(__xludf.DUMMYFUNCTION("""COMPUTED_VALUE"""),"collect/miscellaneous/Dhaka FM/DFM - AUDIO CLIP (03-01-2023)/65a929bf-f7a5-4bcb-9852-a6b804fdf114.flac")</f>
        <v>collect/miscellaneous/Dhaka FM/DFM - AUDIO CLIP (03-01-2023)/65a929bf-f7a5-4bcb-9852-a6b804fdf114.flac</v>
      </c>
      <c r="B15" s="2">
        <f>IFERROR(__xludf.DUMMYFUNCTION("""COMPUTED_VALUE"""),13.554)</f>
        <v>13.554</v>
      </c>
      <c r="C15" s="2" t="str">
        <f>IFERROR(__xludf.DUMMYFUNCTION("""COMPUTED_VALUE"""),"কওয়ানসেক্সটুসিক ে তরো ইজাওরাইস এমএন্স নাম্বার ফেসবুক ডটকম স্ল্যাশ এালা আপডাাকায় ভ্যাম হচ্ছে ফেইসবুকের ঠিকানা অ্যান্ড জেরো ওয়ান এইটফর ওয়ান নাইন্জ রফ নাইন্জের ওপর হচ্ছে ওয়াজসেট নাম্বর")</f>
        <v>কওয়ানসেক্সটুসিক ে তরো ইজাওরাইস এমএন্স নাম্বার ফেসবুক ডটকম স্ল্যাশ এালা আপডাাকায় ভ্যাম হচ্ছে ফেইসবুকের ঠিকানা অ্যান্ড জেরো ওয়ান এইটফর ওয়ান নাইন্জ রফ নাইন্জের ওপর হচ্ছে ওয়াজসেট নাম্বর</v>
      </c>
      <c r="D15" s="2" t="str">
        <f>IFERROR(__xludf.DUMMYFUNCTION("""COMPUTED_VALUE"""),"No")</f>
        <v>No</v>
      </c>
      <c r="E15" s="2" t="str">
        <f>IFERROR(__xludf.DUMMYFUNCTION("""COMPUTED_VALUE"""),"Yes")</f>
        <v>Yes</v>
      </c>
      <c r="F15" s="2" t="str">
        <f>IFERROR(__xludf.DUMMYFUNCTION("""COMPUTED_VALUE"""),"Yes")</f>
        <v>Yes</v>
      </c>
      <c r="G15" s="2">
        <f>IFERROR(__xludf.DUMMYFUNCTION("""COMPUTED_VALUE"""),0.0)</f>
        <v>0</v>
      </c>
      <c r="H15" s="2">
        <f>IFERROR(__xludf.DUMMYFUNCTION("""COMPUTED_VALUE"""),0.0)</f>
        <v>0</v>
      </c>
      <c r="I15" s="2">
        <f>IFERROR(__xludf.DUMMYFUNCTION("""COMPUTED_VALUE"""),0.0)</f>
        <v>0</v>
      </c>
      <c r="J15" s="2">
        <f>IFERROR(__xludf.DUMMYFUNCTION("""COMPUTED_VALUE"""),0.0)</f>
        <v>0</v>
      </c>
      <c r="K15" s="2" t="str">
        <f>IFERROR(__xludf.DUMMYFUNCTION("""COMPUTED_VALUE"""),"1 - Unusable Severely degraded, or non-Bangla")</f>
        <v>1 - Unusable Severely degraded, or non-Bangla</v>
      </c>
      <c r="L15" s="2" t="str">
        <f>IFERROR(__xludf.DUMMYFUNCTION("""COMPUTED_VALUE"""),"Yes")</f>
        <v>Yes</v>
      </c>
    </row>
    <row r="16">
      <c r="A16" s="2" t="str">
        <f>IFERROR(__xludf.DUMMYFUNCTION("""COMPUTED_VALUE"""),"collect/miscellaneous/Dhaka FM/DFM - AUDIO CLIP (03-01-2023)/070da6ae-4fd1-49a3-acc7-0c3daa6314a7.flac")</f>
        <v>collect/miscellaneous/Dhaka FM/DFM - AUDIO CLIP (03-01-2023)/070da6ae-4fd1-49a3-acc7-0c3daa6314a7.flac</v>
      </c>
      <c r="B16" s="2">
        <f>IFERROR(__xludf.DUMMYFUNCTION("""COMPUTED_VALUE"""),30.0)</f>
        <v>30</v>
      </c>
      <c r="C16" s="2" t="str">
        <f>IFERROR(__xludf.DUMMYFUNCTION("""COMPUTED_VALUE"""),"িচ্ছে পরের দিন একটু রেলাক্সে কোরবানি দিব এবং হৈচৈ হই হই রইরই ব্যাপারটা একটু কম হবে ঝামেলাটাও একটু কম হবে ওয়েল দ্যাটসনট বাড ক অ্যাট হল আমি ছোটবেলা দেখে থেকে দেখে আসছি যে আমাদের বাড়ি আমাদের পাশের বাড়ি তা আমাদের সামনের বাড়িটা আমরা সবাই করবেন দিচ্ছি কিন্তু তা"&amp;"র কর্নারে জে বাড়িটা উনারা দিচ্ছে না বিকজ তারা ঈদের পরের দিন কোরবানি দিবেন এবং এদের পরের দিন বেশ সময় নিয়ে ওনারা কাজটা্জ করবেন যেরকম অনেক বাড়িতেই হয় আবার অনেকে এদের তৃতীয় দিন চতুর্থ দিন কোরবানি")</f>
        <v>িচ্ছে পরের দিন একটু রেলাক্সে কোরবানি দিব এবং হৈচৈ হই হই রইরই ব্যাপারটা একটু কম হবে ঝামেলাটাও একটু কম হবে ওয়েল দ্যাটসনট বাড ক অ্যাট হল আমি ছোটবেলা দেখে থেকে দেখে আসছি যে আমাদের বাড়ি আমাদের পাশের বাড়ি তা আমাদের সামনের বাড়িটা আমরা সবাই করবেন দিচ্ছি কিন্তু তার কর্নারে জে বাড়িটা উনারা দিচ্ছে না বিকজ তারা ঈদের পরের দিন কোরবানি দিবেন এবং এদের পরের দিন বেশ সময় নিয়ে ওনারা কাজটা্জ করবেন যেরকম অনেক বাড়িতেই হয় আবার অনেকে এদের তৃতীয় দিন চতুর্থ দিন কোরবানি</v>
      </c>
      <c r="D16" s="2" t="str">
        <f>IFERROR(__xludf.DUMMYFUNCTION("""COMPUTED_VALUE"""),"Yes")</f>
        <v>Yes</v>
      </c>
      <c r="E16" s="2" t="str">
        <f>IFERROR(__xludf.DUMMYFUNCTION("""COMPUTED_VALUE"""),"No")</f>
        <v>No</v>
      </c>
      <c r="F16" s="2" t="str">
        <f>IFERROR(__xludf.DUMMYFUNCTION("""COMPUTED_VALUE"""),"Yes")</f>
        <v>Yes</v>
      </c>
      <c r="G16" s="2">
        <f>IFERROR(__xludf.DUMMYFUNCTION("""COMPUTED_VALUE"""),0.5)</f>
        <v>0.5</v>
      </c>
      <c r="H16" s="2">
        <f>IFERROR(__xludf.DUMMYFUNCTION("""COMPUTED_VALUE"""),0.5)</f>
        <v>0.5</v>
      </c>
      <c r="I16" s="2">
        <f>IFERROR(__xludf.DUMMYFUNCTION("""COMPUTED_VALUE"""),0.5)</f>
        <v>0.5</v>
      </c>
      <c r="J16" s="2">
        <f>IFERROR(__xludf.DUMMYFUNCTION("""COMPUTED_VALUE"""),0.0)</f>
        <v>0</v>
      </c>
      <c r="K16" s="2" t="str">
        <f>IFERROR(__xludf.DUMMYFUNCTION("""COMPUTED_VALUE"""),"4– Usable, minor flaws Minor background noise.")</f>
        <v>4– Usable, minor flaws Minor background noise.</v>
      </c>
      <c r="L16" s="2" t="str">
        <f>IFERROR(__xludf.DUMMYFUNCTION("""COMPUTED_VALUE"""),"No")</f>
        <v>No</v>
      </c>
    </row>
    <row r="17">
      <c r="A17" s="2" t="str">
        <f>IFERROR(__xludf.DUMMYFUNCTION("""COMPUTED_VALUE"""),"collect/miscellaneous/Dhaka FM/DFM - AUDIO CLIP (03-01-2023)/102e59c7-a4db-4a21-ad17-bd7dfc418c6e.flac")</f>
        <v>collect/miscellaneous/Dhaka FM/DFM - AUDIO CLIP (03-01-2023)/102e59c7-a4db-4a21-ad17-bd7dfc418c6e.flac</v>
      </c>
      <c r="B17" s="2">
        <f>IFERROR(__xludf.DUMMYFUNCTION("""COMPUTED_VALUE"""),30.0)</f>
        <v>30</v>
      </c>
      <c r="C17" s="2" t="str">
        <f>IFERROR(__xludf.DUMMYFUNCTION("""COMPUTED_VALUE"""),"বেঁধে যায় ইন্দ্যাট কেজ আপনার রার যেত এরকম চাললি না থাকে তাহলে খালি বোটল আছে না আমরা যে পানির বোতলগুলো কিনিয়ে বাইরে থেকে ওটার বোটম পার্টটা কেটে জাস্ট নিচে তলা নিতে কয়েকটা ফুটো করে নিন ফুটো করে যা স্টইসিংকের মুখের পেয়ে ছোট বোতল বা মাঝের বধ যত বড়ই হোক আপনার "&amp;"সিংকের মুখটা ওখানে বসেই দিন দেখবেন যত ময়লাটোলা আছে ওই চালনির মধ্যে রয়ে গেছে এবং পানিটা সুন্দরভাবে ড্রেন হয়ে যাচ্ছে ড্যাটসেজ জেম্পালান এইজিসেও না")</f>
        <v>বেঁধে যায় ইন্দ্যাট কেজ আপনার রার যেত এরকম চাললি না থাকে তাহলে খালি বোটল আছে না আমরা যে পানির বোতলগুলো কিনিয়ে বাইরে থেকে ওটার বোটম পার্টটা কেটে জাস্ট নিচে তলা নিতে কয়েকটা ফুটো করে নিন ফুটো করে যা স্টইসিংকের মুখের পেয়ে ছোট বোতল বা মাঝের বধ যত বড়ই হোক আপনার সিংকের মুখটা ওখানে বসেই দিন দেখবেন যত ময়লাটোলা আছে ওই চালনির মধ্যে রয়ে গেছে এবং পানিটা সুন্দরভাবে ড্রেন হয়ে যাচ্ছে ড্যাটসেজ জেম্পালান এইজিসেও না</v>
      </c>
      <c r="D17" s="2" t="str">
        <f>IFERROR(__xludf.DUMMYFUNCTION("""COMPUTED_VALUE"""),"No")</f>
        <v>No</v>
      </c>
      <c r="E17" s="2" t="str">
        <f>IFERROR(__xludf.DUMMYFUNCTION("""COMPUTED_VALUE"""),"Yes")</f>
        <v>Yes</v>
      </c>
      <c r="F17" s="2" t="str">
        <f>IFERROR(__xludf.DUMMYFUNCTION("""COMPUTED_VALUE"""),"Yes")</f>
        <v>Yes</v>
      </c>
      <c r="G17" s="2">
        <f>IFERROR(__xludf.DUMMYFUNCTION("""COMPUTED_VALUE"""),0.0)</f>
        <v>0</v>
      </c>
      <c r="H17" s="2">
        <f>IFERROR(__xludf.DUMMYFUNCTION("""COMPUTED_VALUE"""),0.5)</f>
        <v>0.5</v>
      </c>
      <c r="I17" s="2">
        <f>IFERROR(__xludf.DUMMYFUNCTION("""COMPUTED_VALUE"""),0.5)</f>
        <v>0.5</v>
      </c>
      <c r="J17" s="2">
        <f>IFERROR(__xludf.DUMMYFUNCTION("""COMPUTED_VALUE"""),0.0)</f>
        <v>0</v>
      </c>
      <c r="K17" s="2" t="str">
        <f>IFERROR(__xludf.DUMMYFUNCTION("""COMPUTED_VALUE"""),"3 – Mixed language or inconsistent quality")</f>
        <v>3 – Mixed language or inconsistent quality</v>
      </c>
      <c r="L17" s="2" t="str">
        <f>IFERROR(__xludf.DUMMYFUNCTION("""COMPUTED_VALUE"""),"Yes")</f>
        <v>Yes</v>
      </c>
    </row>
    <row r="18">
      <c r="A18" s="2" t="str">
        <f>IFERROR(__xludf.DUMMYFUNCTION("""COMPUTED_VALUE"""),"collect/miscellaneous/Dhaka FM/DFM - AUDIO CLIP (03-01-2023)/172b1ac4-4f52-4fcb-a02d-81fc821bb5f6.flac")</f>
        <v>collect/miscellaneous/Dhaka FM/DFM - AUDIO CLIP (03-01-2023)/172b1ac4-4f52-4fcb-a02d-81fc821bb5f6.flac</v>
      </c>
      <c r="B18" s="2">
        <f>IFERROR(__xludf.DUMMYFUNCTION("""COMPUTED_VALUE"""),30.0)</f>
        <v>30</v>
      </c>
      <c r="C18" s="2" t="str">
        <f>IFERROR(__xludf.DUMMYFUNCTION("""COMPUTED_VALUE"""),"এবং আমি বন্ধুদেকে জানিয়ে রাখতে চাচ্ছি কেনা কাটার পেিে আপনাদের বেশি লাভ দিতেই নগদ নিয়ে এসেছে দারুণ ক্যাশব্যাক এবং ডিসকাউন্ট অফআর পবিত্র মাহেরমজান এবং ঈদ উপলক্ষে আপনি যদি কৃষিবিদ বাজারে নগদের মাধ্যমে পেমেন্ট করে থাকেন তাহলে কিন্তু পেয়ে যাচ্ছেন দশ পার্সেন্ট "&amp;"অর্থার টেন পার্সেন্ট ক্যাশ ব্যাক সবাইক আশা করছি এই ওফারটি নেওয়ার চেষ্টা করবেন এবং আমি আবার চলে যাচ্ছি আমাদের স্টুডিওতে ধন্যবাদ স্যানজিব এবং আমাদেরকে দুর্দান্ত কিছু শপিং আপডেট জানিয়ে দেওয়ার জন্য নগদেশ সৌজন্যে তো")</f>
        <v>এবং আমি বন্ধুদেকে জানিয়ে রাখতে চাচ্ছি কেনা কাটার পেিে আপনাদের বেশি লাভ দিতেই নগদ নিয়ে এসেছে দারুণ ক্যাশব্যাক এবং ডিসকাউন্ট অফআর পবিত্র মাহেরমজান এবং ঈদ উপলক্ষে আপনি যদি কৃষিবিদ বাজারে নগদের মাধ্যমে পেমেন্ট করে থাকেন তাহলে কিন্তু পেয়ে যাচ্ছেন দশ পার্সেন্ট অর্থার টেন পার্সেন্ট ক্যাশ ব্যাক সবাইক আশা করছি এই ওফারটি নেওয়ার চেষ্টা করবেন এবং আমি আবার চলে যাচ্ছি আমাদের স্টুডিওতে ধন্যবাদ স্যানজিব এবং আমাদেরকে দুর্দান্ত কিছু শপিং আপডেট জানিয়ে দেওয়ার জন্য নগদেশ সৌজন্যে তো</v>
      </c>
      <c r="D18" s="2" t="str">
        <f>IFERROR(__xludf.DUMMYFUNCTION("""COMPUTED_VALUE"""),"Yes")</f>
        <v>Yes</v>
      </c>
      <c r="E18" s="2" t="str">
        <f>IFERROR(__xludf.DUMMYFUNCTION("""COMPUTED_VALUE"""),"No")</f>
        <v>No</v>
      </c>
      <c r="F18" s="2" t="str">
        <f>IFERROR(__xludf.DUMMYFUNCTION("""COMPUTED_VALUE"""),"Yes")</f>
        <v>Yes</v>
      </c>
      <c r="G18" s="2">
        <f>IFERROR(__xludf.DUMMYFUNCTION("""COMPUTED_VALUE"""),0.5)</f>
        <v>0.5</v>
      </c>
      <c r="H18" s="2">
        <f>IFERROR(__xludf.DUMMYFUNCTION("""COMPUTED_VALUE"""),0.5)</f>
        <v>0.5</v>
      </c>
      <c r="I18" s="2">
        <f>IFERROR(__xludf.DUMMYFUNCTION("""COMPUTED_VALUE"""),0.5)</f>
        <v>0.5</v>
      </c>
      <c r="J18" s="2">
        <f>IFERROR(__xludf.DUMMYFUNCTION("""COMPUTED_VALUE"""),0.0)</f>
        <v>0</v>
      </c>
      <c r="K18" s="2" t="str">
        <f>IFERROR(__xludf.DUMMYFUNCTION("""COMPUTED_VALUE"""),"4– Usable, minor flaws Minor background noise.")</f>
        <v>4– Usable, minor flaws Minor background noise.</v>
      </c>
      <c r="L18" s="2" t="str">
        <f>IFERROR(__xludf.DUMMYFUNCTION("""COMPUTED_VALUE"""),"Yes")</f>
        <v>Yes</v>
      </c>
    </row>
    <row r="19">
      <c r="A19" s="2" t="str">
        <f>IFERROR(__xludf.DUMMYFUNCTION("""COMPUTED_VALUE"""),"collect/miscellaneous/Dhaka FM/DFM - AUDIO CLIP (03-01-2023)/217da541-43a2-4bc8-946f-42785192c5fe.flac")</f>
        <v>collect/miscellaneous/Dhaka FM/DFM - AUDIO CLIP (03-01-2023)/217da541-43a2-4bc8-946f-42785192c5fe.flac</v>
      </c>
      <c r="B19" s="2">
        <f>IFERROR(__xludf.DUMMYFUNCTION("""COMPUTED_VALUE"""),30.0)</f>
        <v>30</v>
      </c>
      <c r="C19" s="2" t="str">
        <f>IFERROR(__xludf.DUMMYFUNCTION("""COMPUTED_VALUE"""),"সেই না আর বার বারি কে এমন যন মনে হয় উফকি করে জুতাপুরে বাইরে যায় বারে যাই যাস স্টফ থিংকিং লাইক ডাট ওকে ডু ওয়ান থিং নেলপলিস রিমওভার আছে না নেলপলি রিমুয়ার্টা নিয়ে একটা কটনবল মানে তুলো নিয়ে তুলত রিমোভার দিন নিয়ে তারপরে জুতার যে অংশটায় ডাক লেগে আছে না বা একটু "&amp;"স্টেইন মনে হচ্ছে ওই খানটা একটু যেমনকার আপনি নেলপালিষ্ট উঠান আঙ্গুল থেকে নক থেকে ঠিক তেমন করে দাকতা উঠানোর চেষ্টা করান দেখবেন যে আপনার সাদা জুদা সাদা থাকছে এবং আপনার মনের মধ্যেয়ে একটু ভালো")</f>
        <v>সেই না আর বার বারি কে এমন যন মনে হয় উফকি করে জুতাপুরে বাইরে যায় বারে যাই যাস স্টফ থিংকিং লাইক ডাট ওকে ডু ওয়ান থিং নেলপলিস রিমওভার আছে না নেলপলি রিমুয়ার্টা নিয়ে একটা কটনবল মানে তুলো নিয়ে তুলত রিমোভার দিন নিয়ে তারপরে জুতার যে অংশটায় ডাক লেগে আছে না বা একটু স্টেইন মনে হচ্ছে ওই খানটা একটু যেমনকার আপনি নেলপালিষ্ট উঠান আঙ্গুল থেকে নক থেকে ঠিক তেমন করে দাকতা উঠানোর চেষ্টা করান দেখবেন যে আপনার সাদা জুদা সাদা থাকছে এবং আপনার মনের মধ্যেয়ে একটু ভালো</v>
      </c>
      <c r="D19" s="2" t="str">
        <f>IFERROR(__xludf.DUMMYFUNCTION("""COMPUTED_VALUE"""),"No")</f>
        <v>No</v>
      </c>
      <c r="E19" s="2" t="str">
        <f>IFERROR(__xludf.DUMMYFUNCTION("""COMPUTED_VALUE"""),"Yes")</f>
        <v>Yes</v>
      </c>
      <c r="F19" s="2" t="str">
        <f>IFERROR(__xludf.DUMMYFUNCTION("""COMPUTED_VALUE"""),"Yes")</f>
        <v>Yes</v>
      </c>
      <c r="G19" s="2">
        <f>IFERROR(__xludf.DUMMYFUNCTION("""COMPUTED_VALUE"""),0.5)</f>
        <v>0.5</v>
      </c>
      <c r="H19" s="2">
        <f>IFERROR(__xludf.DUMMYFUNCTION("""COMPUTED_VALUE"""),0.5)</f>
        <v>0.5</v>
      </c>
      <c r="I19" s="2">
        <f>IFERROR(__xludf.DUMMYFUNCTION("""COMPUTED_VALUE"""),0.5)</f>
        <v>0.5</v>
      </c>
      <c r="J19" s="2">
        <f>IFERROR(__xludf.DUMMYFUNCTION("""COMPUTED_VALUE"""),0.0)</f>
        <v>0</v>
      </c>
      <c r="K19" s="2" t="str">
        <f>IFERROR(__xludf.DUMMYFUNCTION("""COMPUTED_VALUE"""),"3 – Mixed language or inconsistent quality")</f>
        <v>3 – Mixed language or inconsistent quality</v>
      </c>
      <c r="L19" s="2" t="str">
        <f>IFERROR(__xludf.DUMMYFUNCTION("""COMPUTED_VALUE"""),"Yes")</f>
        <v>Yes</v>
      </c>
    </row>
    <row r="20">
      <c r="A20" s="2" t="str">
        <f>IFERROR(__xludf.DUMMYFUNCTION("""COMPUTED_VALUE"""),"collect/miscellaneous/Dhaka FM/DFM - AUDIO CLIP (03-01-2023)/305ebb93-20d8-469f-a56d-7c0740a1f7ea.flac")</f>
        <v>collect/miscellaneous/Dhaka FM/DFM - AUDIO CLIP (03-01-2023)/305ebb93-20d8-469f-a56d-7c0740a1f7ea.flac</v>
      </c>
      <c r="B20" s="2">
        <f>IFERROR(__xludf.DUMMYFUNCTION("""COMPUTED_VALUE"""),30.0)</f>
        <v>30</v>
      </c>
      <c r="C20" s="2" t="str">
        <f>IFERROR(__xludf.DUMMYFUNCTION("""COMPUTED_VALUE"""),"এটা হয়নি এমনিটি দেখতে আসছি কিছু পছন্দ হয় কিনা আছা ও ক্যাপস কন প্ল্যান আছে যে পরিবারের কাউকে কোনো গ্িফট করবেন এমনি তো পকোনো প্লান নেই মানি যা করে সব ফ্যামনি থেকেই আমার কখনো কারোকে গিফট করা হয় নাই আছ ওকে কোনো প্রগ্লাম নেয় আপনি এখন অনেক ছোট আপু যখন আপনি অনেক"&amp;" বড় হবেন তখন ইনশাল্লা আপনি সবাইকে গ্রিফট করবেন আছে রিয়ালিস্নের্স এই ছিল আজকে এর নগদের সৌজনের শপিং আপদেট জিেলিস্নের্ আাপনাদিরকে একটি জানিয়ে রাখি এইবাড়ের ইদে আপনার যদি")</f>
        <v>এটা হয়নি এমনিটি দেখতে আসছি কিছু পছন্দ হয় কিনা আছা ও ক্যাপস কন প্ল্যান আছে যে পরিবারের কাউকে কোনো গ্িফট করবেন এমনি তো পকোনো প্লান নেই মানি যা করে সব ফ্যামনি থেকেই আমার কখনো কারোকে গিফট করা হয় নাই আছ ওকে কোনো প্রগ্লাম নেয় আপনি এখন অনেক ছোট আপু যখন আপনি অনেক বড় হবেন তখন ইনশাল্লা আপনি সবাইকে গ্রিফট করবেন আছে রিয়ালিস্নের্স এই ছিল আজকে এর নগদের সৌজনের শপিং আপদেট জিেলিস্নের্ আাপনাদিরকে একটি জানিয়ে রাখি এইবাড়ের ইদে আপনার যদি</v>
      </c>
      <c r="D20" s="2" t="str">
        <f>IFERROR(__xludf.DUMMYFUNCTION("""COMPUTED_VALUE"""),"No")</f>
        <v>No</v>
      </c>
      <c r="E20" s="2" t="str">
        <f>IFERROR(__xludf.DUMMYFUNCTION("""COMPUTED_VALUE"""),"Yes")</f>
        <v>Yes</v>
      </c>
      <c r="F20" s="2" t="str">
        <f>IFERROR(__xludf.DUMMYFUNCTION("""COMPUTED_VALUE"""),"Yes")</f>
        <v>Yes</v>
      </c>
      <c r="G20" s="2">
        <f>IFERROR(__xludf.DUMMYFUNCTION("""COMPUTED_VALUE"""),0.0)</f>
        <v>0</v>
      </c>
      <c r="H20" s="2">
        <f>IFERROR(__xludf.DUMMYFUNCTION("""COMPUTED_VALUE"""),0.0)</f>
        <v>0</v>
      </c>
      <c r="I20" s="2">
        <f>IFERROR(__xludf.DUMMYFUNCTION("""COMPUTED_VALUE"""),0.0)</f>
        <v>0</v>
      </c>
      <c r="J20" s="2">
        <f>IFERROR(__xludf.DUMMYFUNCTION("""COMPUTED_VALUE"""),0.0)</f>
        <v>0</v>
      </c>
      <c r="K20" s="2" t="str">
        <f>IFERROR(__xludf.DUMMYFUNCTION("""COMPUTED_VALUE"""),"1 - Unusable Severely degraded, or non-Bangla")</f>
        <v>1 - Unusable Severely degraded, or non-Bangla</v>
      </c>
      <c r="L20" s="2" t="str">
        <f>IFERROR(__xludf.DUMMYFUNCTION("""COMPUTED_VALUE"""),"No")</f>
        <v>No</v>
      </c>
    </row>
    <row r="21">
      <c r="A21" s="2" t="str">
        <f>IFERROR(__xludf.DUMMYFUNCTION("""COMPUTED_VALUE"""),"collect/miscellaneous/Dhaka FM/DFM - AUDIO CLIP (03-01-2023)/322cadbd-1c6a-429b-8a28-8ebb1a685eff.flac")</f>
        <v>collect/miscellaneous/Dhaka FM/DFM - AUDIO CLIP (03-01-2023)/322cadbd-1c6a-429b-8a28-8ebb1a685eff.flac</v>
      </c>
      <c r="B21" s="2">
        <f>IFERROR(__xludf.DUMMYFUNCTION("""COMPUTED_VALUE"""),16.225)</f>
        <v>16.225</v>
      </c>
      <c r="C21" s="2" t="str">
        <f>IFERROR(__xludf.DUMMYFUNCTION("""COMPUTED_VALUE"""),"পরে মানে হচ্ছে প্রতি শনিবার ঠিক এগারোটা থেকে দ্রুত পর্যন্ত সোটা করে থাকি তো অবশ্যই আমার সেতু জানন কবে আর হ্যাঁ আমাদ সত্যী কিন্তু শুধুমাত্র পুরনো হারনো দিনের গানগুলোই নে করি যাতে তোমাদের কে পুরনো স্মৃতি কিনিয়ে যেতে পারি অবশ্যই আমার সাথে থাকবে আর ি একটু পরে"&amp;" লাশ বাড়ের মতো")</f>
        <v>পরে মানে হচ্ছে প্রতি শনিবার ঠিক এগারোটা থেকে দ্রুত পর্যন্ত সোটা করে থাকি তো অবশ্যই আমার সেতু জানন কবে আর হ্যাঁ আমাদ সত্যী কিন্তু শুধুমাত্র পুরনো হারনো দিনের গানগুলোই নে করি যাতে তোমাদের কে পুরনো স্মৃতি কিনিয়ে যেতে পারি অবশ্যই আমার সাথে থাকবে আর ি একটু পরে লাশ বাড়ের মতো</v>
      </c>
      <c r="D21" s="2" t="str">
        <f>IFERROR(__xludf.DUMMYFUNCTION("""COMPUTED_VALUE"""),"No")</f>
        <v>No</v>
      </c>
      <c r="E21" s="2" t="str">
        <f>IFERROR(__xludf.DUMMYFUNCTION("""COMPUTED_VALUE"""),"Yes")</f>
        <v>Yes</v>
      </c>
      <c r="F21" s="2" t="str">
        <f>IFERROR(__xludf.DUMMYFUNCTION("""COMPUTED_VALUE"""),"Yes")</f>
        <v>Yes</v>
      </c>
      <c r="G21" s="2">
        <f>IFERROR(__xludf.DUMMYFUNCTION("""COMPUTED_VALUE"""),0.0)</f>
        <v>0</v>
      </c>
      <c r="H21" s="2">
        <f>IFERROR(__xludf.DUMMYFUNCTION("""COMPUTED_VALUE"""),0.0)</f>
        <v>0</v>
      </c>
      <c r="I21" s="2">
        <f>IFERROR(__xludf.DUMMYFUNCTION("""COMPUTED_VALUE"""),0.0)</f>
        <v>0</v>
      </c>
      <c r="J21" s="2">
        <f>IFERROR(__xludf.DUMMYFUNCTION("""COMPUTED_VALUE"""),0.0)</f>
        <v>0</v>
      </c>
      <c r="K21" s="2" t="str">
        <f>IFERROR(__xludf.DUMMYFUNCTION("""COMPUTED_VALUE"""),"1 - Unusable Severely degraded, or non-Bangla")</f>
        <v>1 - Unusable Severely degraded, or non-Bangla</v>
      </c>
      <c r="L21" s="2" t="str">
        <f>IFERROR(__xludf.DUMMYFUNCTION("""COMPUTED_VALUE"""),"No")</f>
        <v>No</v>
      </c>
    </row>
    <row r="22">
      <c r="A22" s="2" t="str">
        <f>IFERROR(__xludf.DUMMYFUNCTION("""COMPUTED_VALUE"""),"collect/miscellaneous/Dhaka FM/DFM - AUDIO CLIP (03-01-2023)/351e5341-f98a-45d9-b2db-e9ec82684d79.flac")</f>
        <v>collect/miscellaneous/Dhaka FM/DFM - AUDIO CLIP (03-01-2023)/351e5341-f98a-45d9-b2db-e9ec82684d79.flac</v>
      </c>
      <c r="B22" s="2">
        <f>IFERROR(__xludf.DUMMYFUNCTION("""COMPUTED_VALUE"""),30.0)</f>
        <v>30</v>
      </c>
      <c r="C22" s="2" t="str">
        <f>IFERROR(__xludf.DUMMYFUNCTION("""COMPUTED_VALUE"""),"লাইফ হ্যাকস ্াক্স হেইভ রয়েন্স ওয়েলক্যাম ওয়ান সেকেন্টিউ ঢাকার াম নাইনি পয়েন্ট ফোর লাইফ অ্যাক্সিটি তাছে আপনার সাথে না ওয়ান থিং সামটেইমস ক্ী হয় যে আমাদের ফুড প্লাস্টিক র‌্যাপ আছে না সেই র‌্যাব পেপারগুলো ফুডপ্লাস্টিক র্াব পেপার বা ক্লিং ফিল্ম আমরা যেগুলোকে বল"&amp;"ে থাকি ওগুলো অনেক সময় দেখতে দেখবেন যে আপনি যখন ওটা ছিড়তে যাচ্ছেন কোনো খাবার ঢাকার জন্য তুলতেই পারছেন না রোল্টা থেকে ইন্দাট মোমেন্ট ওয়াচ উইকেন্ডু জাস ক্রিপিটিন দে া")</f>
        <v>লাইফ হ্যাকস ্াক্স হেইভ রয়েন্স ওয়েলক্যাম ওয়ান সেকেন্টিউ ঢাকার াম নাইনি পয়েন্ট ফোর লাইফ অ্যাক্সিটি তাছে আপনার সাথে না ওয়ান থিং সামটেইমস ক্ী হয় যে আমাদের ফুড প্লাস্টিক র‌্যাপ আছে না সেই র‌্যাব পেপারগুলো ফুডপ্লাস্টিক র্াব পেপার বা ক্লিং ফিল্ম আমরা যেগুলোকে বলে থাকি ওগুলো অনেক সময় দেখতে দেখবেন যে আপনি যখন ওটা ছিড়তে যাচ্ছেন কোনো খাবার ঢাকার জন্য তুলতেই পারছেন না রোল্টা থেকে ইন্দাট মোমেন্ট ওয়াচ উইকেন্ডু জাস ক্রিপিটিন দে া</v>
      </c>
      <c r="D22" s="2" t="str">
        <f>IFERROR(__xludf.DUMMYFUNCTION("""COMPUTED_VALUE"""),"No")</f>
        <v>No</v>
      </c>
      <c r="E22" s="2" t="str">
        <f>IFERROR(__xludf.DUMMYFUNCTION("""COMPUTED_VALUE"""),"No")</f>
        <v>No</v>
      </c>
      <c r="F22" s="2" t="str">
        <f>IFERROR(__xludf.DUMMYFUNCTION("""COMPUTED_VALUE"""),"Yes")</f>
        <v>Yes</v>
      </c>
      <c r="G22" s="2">
        <f>IFERROR(__xludf.DUMMYFUNCTION("""COMPUTED_VALUE"""),0.0)</f>
        <v>0</v>
      </c>
      <c r="H22" s="2">
        <f>IFERROR(__xludf.DUMMYFUNCTION("""COMPUTED_VALUE"""),0.0)</f>
        <v>0</v>
      </c>
      <c r="I22" s="2">
        <f>IFERROR(__xludf.DUMMYFUNCTION("""COMPUTED_VALUE"""),0.0)</f>
        <v>0</v>
      </c>
      <c r="J22" s="2">
        <f>IFERROR(__xludf.DUMMYFUNCTION("""COMPUTED_VALUE"""),0.0)</f>
        <v>0</v>
      </c>
      <c r="K22" s="2" t="str">
        <f>IFERROR(__xludf.DUMMYFUNCTION("""COMPUTED_VALUE"""),"1 - Unusable Severely degraded, or non-Bangla")</f>
        <v>1 - Unusable Severely degraded, or non-Bangla</v>
      </c>
      <c r="L22" s="2" t="str">
        <f>IFERROR(__xludf.DUMMYFUNCTION("""COMPUTED_VALUE"""),"No")</f>
        <v>No</v>
      </c>
    </row>
    <row r="23">
      <c r="A23" s="2" t="str">
        <f>IFERROR(__xludf.DUMMYFUNCTION("""COMPUTED_VALUE"""),"collect/miscellaneous/Dhaka FM/DFM - AUDIO CLIP (03-01-2023)/364a7dc9-e34a-44c9-b005-90e896362146.flac")</f>
        <v>collect/miscellaneous/Dhaka FM/DFM - AUDIO CLIP (03-01-2023)/364a7dc9-e34a-44c9-b005-90e896362146.flac</v>
      </c>
      <c r="B23" s="2">
        <f>IFERROR(__xludf.DUMMYFUNCTION("""COMPUTED_VALUE"""),30.0)</f>
        <v>30</v>
      </c>
      <c r="C23" s="2" t="str">
        <f>IFERROR(__xludf.DUMMYFUNCTION("""COMPUTED_VALUE"""),"ে নুজিবসহ সমস্ত নেতাকে মুক্তি দিতে বাধ্য হয় পাকিস্তান সরকার শুধু তাহ নয় প্রবল পরাক্রমশালী প্রেসিডেন্ট আয়ু খান সেনাপ্রধান ইয়াহিয়া খানকে ক্ষমতা দিয়ে বিদায় নিল জেনারেল ইয়াহিয়া খান ক্ষমতায় এসেই পাকিস্তানের ইতিহাসে প্রথমবারের মতো নির্বাচন দেওয়ার ঘোষণা দিল তারে"&amp;"ক ঠিক হলো উনিশশো সত্তর সালের সাত ডিসেম্বর নির্বাচন হলো যথা সময় ফলাফল দেখে জেনারেল ইয়াহিয়া খানের মাথায় যেন")</f>
        <v>ে নুজিবসহ সমস্ত নেতাকে মুক্তি দিতে বাধ্য হয় পাকিস্তান সরকার শুধু তাহ নয় প্রবল পরাক্রমশালী প্রেসিডেন্ট আয়ু খান সেনাপ্রধান ইয়াহিয়া খানকে ক্ষমতা দিয়ে বিদায় নিল জেনারেল ইয়াহিয়া খান ক্ষমতায় এসেই পাকিস্তানের ইতিহাসে প্রথমবারের মতো নির্বাচন দেওয়ার ঘোষণা দিল তারেক ঠিক হলো উনিশশো সত্তর সালের সাত ডিসেম্বর নির্বাচন হলো যথা সময় ফলাফল দেখে জেনারেল ইয়াহিয়া খানের মাথায় যেন</v>
      </c>
      <c r="D23" s="2" t="str">
        <f>IFERROR(__xludf.DUMMYFUNCTION("""COMPUTED_VALUE"""),"Yes")</f>
        <v>Yes</v>
      </c>
      <c r="E23" s="2" t="str">
        <f>IFERROR(__xludf.DUMMYFUNCTION("""COMPUTED_VALUE"""),"No")</f>
        <v>No</v>
      </c>
      <c r="F23" s="2" t="str">
        <f>IFERROR(__xludf.DUMMYFUNCTION("""COMPUTED_VALUE"""),"Yes")</f>
        <v>Yes</v>
      </c>
      <c r="G23" s="2">
        <f>IFERROR(__xludf.DUMMYFUNCTION("""COMPUTED_VALUE"""),0.5)</f>
        <v>0.5</v>
      </c>
      <c r="H23" s="2">
        <f>IFERROR(__xludf.DUMMYFUNCTION("""COMPUTED_VALUE"""),0.5)</f>
        <v>0.5</v>
      </c>
      <c r="I23" s="2">
        <f>IFERROR(__xludf.DUMMYFUNCTION("""COMPUTED_VALUE"""),0.5)</f>
        <v>0.5</v>
      </c>
      <c r="J23" s="2">
        <f>IFERROR(__xludf.DUMMYFUNCTION("""COMPUTED_VALUE"""),0.0)</f>
        <v>0</v>
      </c>
      <c r="K23" s="2" t="str">
        <f>IFERROR(__xludf.DUMMYFUNCTION("""COMPUTED_VALUE"""),"4– Usable, minor flaws Minor background noise.")</f>
        <v>4– Usable, minor flaws Minor background noise.</v>
      </c>
      <c r="L23" s="2" t="str">
        <f>IFERROR(__xludf.DUMMYFUNCTION("""COMPUTED_VALUE"""),"No")</f>
        <v>No</v>
      </c>
    </row>
    <row r="24">
      <c r="A24" s="2" t="str">
        <f>IFERROR(__xludf.DUMMYFUNCTION("""COMPUTED_VALUE"""),"collect/miscellaneous/Dhaka FM/DFM - AUDIO CLIP (03-01-2023)/380af50e-6ae5-47bf-b498-2bbc84b78476.flac")</f>
        <v>collect/miscellaneous/Dhaka FM/DFM - AUDIO CLIP (03-01-2023)/380af50e-6ae5-47bf-b498-2bbc84b78476.flac</v>
      </c>
      <c r="B24" s="2">
        <f>IFERROR(__xludf.DUMMYFUNCTION("""COMPUTED_VALUE"""),23.313)</f>
        <v>23.313</v>
      </c>
      <c r="C24" s="2" t="str">
        <f>IFERROR(__xludf.DUMMYFUNCTION("""COMPUTED_VALUE"""),"আিন গিয়ে টাইভ করে নাম লোকেশন তারপর কথা বযর্ত এবং পাঠি দিন মন্ সিক্সটিল সিক্জিরও নম্বরিটাতেএাা আপনি চাইলিজির ওয়ান ইট ফোরওয়ান নাইন্জের ও ফোরনাইন্জের ফর এই নম্বারটাতে লিখতে পারে না আগামীকালকে আমাদের ঢাকায় ফ্েমেরবাড়তি দেয় স উইশো করতে পারেন অ্যাডভেন্স হযাপিওয়া"&amp;"ডদে জানাতে পারেন এন্ সবাইকে নতুন বছরের অনেক অনেক অনেক শুভেচ্ছা জানিয়ে শান্ত ছেট্ট ব্রেকে যাচ্ছি ফেরত আরশিবরেকের পরঞ্যে আচ্ছে না কোথাও")</f>
        <v>আিন গিয়ে টাইভ করে নাম লোকেশন তারপর কথা বযর্ত এবং পাঠি দিন মন্ সিক্সটিল সিক্জিরও নম্বরিটাতেএাা আপনি চাইলিজির ওয়ান ইট ফোরওয়ান নাইন্জের ও ফোরনাইন্জের ফর এই নম্বারটাতে লিখতে পারে না আগামীকালকে আমাদের ঢাকায় ফ্েমেরবাড়তি দেয় স উইশো করতে পারেন অ্যাডভেন্স হযাপিওয়াডদে জানাতে পারেন এন্ সবাইকে নতুন বছরের অনেক অনেক অনেক শুভেচ্ছা জানিয়ে শান্ত ছেট্ট ব্রেকে যাচ্ছি ফেরত আরশিবরেকের পরঞ্যে আচ্ছে না কোথাও</v>
      </c>
      <c r="D24" s="2" t="str">
        <f>IFERROR(__xludf.DUMMYFUNCTION("""COMPUTED_VALUE"""),"No")</f>
        <v>No</v>
      </c>
      <c r="E24" s="2" t="str">
        <f>IFERROR(__xludf.DUMMYFUNCTION("""COMPUTED_VALUE"""),"Yes")</f>
        <v>Yes</v>
      </c>
      <c r="F24" s="2" t="str">
        <f>IFERROR(__xludf.DUMMYFUNCTION("""COMPUTED_VALUE"""),"Yes")</f>
        <v>Yes</v>
      </c>
      <c r="G24" s="2">
        <f>IFERROR(__xludf.DUMMYFUNCTION("""COMPUTED_VALUE"""),0.0)</f>
        <v>0</v>
      </c>
      <c r="H24" s="2">
        <f>IFERROR(__xludf.DUMMYFUNCTION("""COMPUTED_VALUE"""),0.0)</f>
        <v>0</v>
      </c>
      <c r="I24" s="2">
        <f>IFERROR(__xludf.DUMMYFUNCTION("""COMPUTED_VALUE"""),0.0)</f>
        <v>0</v>
      </c>
      <c r="J24" s="2">
        <f>IFERROR(__xludf.DUMMYFUNCTION("""COMPUTED_VALUE"""),0.0)</f>
        <v>0</v>
      </c>
      <c r="K24" s="2" t="str">
        <f>IFERROR(__xludf.DUMMYFUNCTION("""COMPUTED_VALUE"""),"1 - Unusable Severely degraded, or non-Bangla")</f>
        <v>1 - Unusable Severely degraded, or non-Bangla</v>
      </c>
      <c r="L24" s="2" t="str">
        <f>IFERROR(__xludf.DUMMYFUNCTION("""COMPUTED_VALUE"""),"Yes")</f>
        <v>Yes</v>
      </c>
    </row>
    <row r="25">
      <c r="A25" s="2" t="str">
        <f>IFERROR(__xludf.DUMMYFUNCTION("""COMPUTED_VALUE"""),"collect/miscellaneous/Dhaka FM/DFM - AUDIO CLIP (03-01-2023)/472a953e-8ae1-4bb5-bcdb-83f1b4c91112.flac")</f>
        <v>collect/miscellaneous/Dhaka FM/DFM - AUDIO CLIP (03-01-2023)/472a953e-8ae1-4bb5-bcdb-83f1b4c91112.flac</v>
      </c>
      <c r="B25" s="2">
        <f>IFERROR(__xludf.DUMMYFUNCTION("""COMPUTED_VALUE"""),30.0)</f>
        <v>30</v>
      </c>
      <c r="C25" s="2" t="str">
        <f>IFERROR(__xludf.DUMMYFUNCTION("""COMPUTED_VALUE"""),"বলছি না ব্রেকের পর এসে আপনাকে জানাচ্ছি নগরঅ্যাপ থেকে অ্যাকাউন্ট খুলে নিজ নাম্বারে বিশ টাকা মোবাইল রিচার্জে বিশ টাকা ক্যাশ ব্যাক দেশী নগরে বেশি লাভ নগুদ ঈদ শোপিং আলো ফ্রয়েন্স ওয়েলকাম ব্যাকটু ঢাকায় ফে্ম নাইনিফ হন ফোর এ্যাক নেশন এক স্টেশনের ইতে আছি আপনার সাথ"&amp;"ে তো যা বলছিলাম তখন যে ব্রেকের পরে ফিরে এসে নগদের আরো অন্যান্য অফারগুলো নিয়ে আপনাকে একটু জানান দেব তো চলুন জেনে নি গত তিন বছর ধরে নগদ ইসলামিক এমএফএস")</f>
        <v>বলছি না ব্রেকের পর এসে আপনাকে জানাচ্ছি নগরঅ্যাপ থেকে অ্যাকাউন্ট খুলে নিজ নাম্বারে বিশ টাকা মোবাইল রিচার্জে বিশ টাকা ক্যাশ ব্যাক দেশী নগরে বেশি লাভ নগুদ ঈদ শোপিং আলো ফ্রয়েন্স ওয়েলকাম ব্যাকটু ঢাকায় ফে্ম নাইনিফ হন ফোর এ্যাক নেশন এক স্টেশনের ইতে আছি আপনার সাথে তো যা বলছিলাম তখন যে ব্রেকের পরে ফিরে এসে নগদের আরো অন্যান্য অফারগুলো নিয়ে আপনাকে একটু জানান দেব তো চলুন জেনে নি গত তিন বছর ধরে নগদ ইসলামিক এমএফএস</v>
      </c>
      <c r="D25" s="2" t="str">
        <f>IFERROR(__xludf.DUMMYFUNCTION("""COMPUTED_VALUE"""),"Yes")</f>
        <v>Yes</v>
      </c>
      <c r="E25" s="2" t="str">
        <f>IFERROR(__xludf.DUMMYFUNCTION("""COMPUTED_VALUE"""),"Yes")</f>
        <v>Yes</v>
      </c>
      <c r="F25" s="2" t="str">
        <f>IFERROR(__xludf.DUMMYFUNCTION("""COMPUTED_VALUE"""),"Yes")</f>
        <v>Yes</v>
      </c>
      <c r="G25" s="2">
        <f>IFERROR(__xludf.DUMMYFUNCTION("""COMPUTED_VALUE"""),0.5)</f>
        <v>0.5</v>
      </c>
      <c r="H25" s="2">
        <f>IFERROR(__xludf.DUMMYFUNCTION("""COMPUTED_VALUE"""),0.5)</f>
        <v>0.5</v>
      </c>
      <c r="I25" s="2">
        <f>IFERROR(__xludf.DUMMYFUNCTION("""COMPUTED_VALUE"""),0.0)</f>
        <v>0</v>
      </c>
      <c r="J25" s="2">
        <f>IFERROR(__xludf.DUMMYFUNCTION("""COMPUTED_VALUE"""),0.0)</f>
        <v>0</v>
      </c>
      <c r="K25" s="2" t="str">
        <f>IFERROR(__xludf.DUMMYFUNCTION("""COMPUTED_VALUE"""),"3 – Mixed language or inconsistent quality")</f>
        <v>3 – Mixed language or inconsistent quality</v>
      </c>
      <c r="L25" s="2" t="str">
        <f>IFERROR(__xludf.DUMMYFUNCTION("""COMPUTED_VALUE"""),"No")</f>
        <v>No</v>
      </c>
    </row>
    <row r="26">
      <c r="A26" s="2" t="str">
        <f>IFERROR(__xludf.DUMMYFUNCTION("""COMPUTED_VALUE"""),"collect/miscellaneous/Dhaka FM/DFM - AUDIO CLIP (03-01-2023)/603ff37f-59eb-4b62-9fc5-2333c929b4ef.flac")</f>
        <v>collect/miscellaneous/Dhaka FM/DFM - AUDIO CLIP (03-01-2023)/603ff37f-59eb-4b62-9fc5-2333c929b4ef.flac</v>
      </c>
      <c r="B26" s="2">
        <f>IFERROR(__xludf.DUMMYFUNCTION("""COMPUTED_VALUE"""),30.0)</f>
        <v>30</v>
      </c>
      <c r="C26" s="2" t="str">
        <f>IFERROR(__xludf.DUMMYFUNCTION("""COMPUTED_VALUE"""),"র জন্য প্রথমে মটরডল সেদ্ধ করে নেওয়া হয় তারপর সঙ্গে মেশেনো হয় বিভিন্ন ধরনের মসলা এরপর পেঁয়াজ মরিচ ধনিয়া পাতা বা পুদিনা পাতা কুচি দিয়ে তৈরি করা হয় মোটরডালের সে পুর্টা মরিচের ব্যবহারের কারণে এটি বেশ ঝালঝাল হয়ে থেকে আপনার ডিপেন্ করবে যদি আপনি যে আলাহতটা কম পছ"&amp;"ন্দ করেন রুটি বাড়ানোর জন্য চ্যালেঞ্জাটা সেদ্ধ করে হাতে গোলগোল করে মন্ড মানে খামির তৈরি করে নেওয়া হয় তারপর হাতের তালুতে চেপই যে পু ডালপুরি বানাতে যেভাবে")</f>
        <v>র জন্য প্রথমে মটরডল সেদ্ধ করে নেওয়া হয় তারপর সঙ্গে মেশেনো হয় বিভিন্ন ধরনের মসলা এরপর পেঁয়াজ মরিচ ধনিয়া পাতা বা পুদিনা পাতা কুচি দিয়ে তৈরি করা হয় মোটরডালের সে পুর্টা মরিচের ব্যবহারের কারণে এটি বেশ ঝালঝাল হয়ে থেকে আপনার ডিপেন্ করবে যদি আপনি যে আলাহতটা কম পছন্দ করেন রুটি বাড়ানোর জন্য চ্যালেঞ্জাটা সেদ্ধ করে হাতে গোলগোল করে মন্ড মানে খামির তৈরি করে নেওয়া হয় তারপর হাতের তালুতে চেপই যে পু ডালপুরি বানাতে যেভাবে</v>
      </c>
      <c r="D26" s="2" t="str">
        <f>IFERROR(__xludf.DUMMYFUNCTION("""COMPUTED_VALUE"""),"Yes")</f>
        <v>Yes</v>
      </c>
      <c r="E26" s="2" t="str">
        <f>IFERROR(__xludf.DUMMYFUNCTION("""COMPUTED_VALUE"""),"Yes")</f>
        <v>Yes</v>
      </c>
      <c r="F26" s="2" t="str">
        <f>IFERROR(__xludf.DUMMYFUNCTION("""COMPUTED_VALUE"""),"Yes")</f>
        <v>Yes</v>
      </c>
      <c r="G26" s="2">
        <f>IFERROR(__xludf.DUMMYFUNCTION("""COMPUTED_VALUE"""),0.5)</f>
        <v>0.5</v>
      </c>
      <c r="H26" s="2">
        <f>IFERROR(__xludf.DUMMYFUNCTION("""COMPUTED_VALUE"""),0.5)</f>
        <v>0.5</v>
      </c>
      <c r="I26" s="2">
        <f>IFERROR(__xludf.DUMMYFUNCTION("""COMPUTED_VALUE"""),0.5)</f>
        <v>0.5</v>
      </c>
      <c r="J26" s="2">
        <f>IFERROR(__xludf.DUMMYFUNCTION("""COMPUTED_VALUE"""),0.0)</f>
        <v>0</v>
      </c>
      <c r="K26" s="2" t="str">
        <f>IFERROR(__xludf.DUMMYFUNCTION("""COMPUTED_VALUE"""),"4– Usable, minor flaws Minor background noise.")</f>
        <v>4– Usable, minor flaws Minor background noise.</v>
      </c>
      <c r="L26" s="2" t="str">
        <f>IFERROR(__xludf.DUMMYFUNCTION("""COMPUTED_VALUE"""),"No")</f>
        <v>No</v>
      </c>
    </row>
    <row r="27">
      <c r="A27" s="2" t="str">
        <f>IFERROR(__xludf.DUMMYFUNCTION("""COMPUTED_VALUE"""),"collect/miscellaneous/Dhaka FM/DFM - AUDIO CLIP (03-01-2023)/633c438c-171d-4351-b24f-0776c9f77a77.flac")</f>
        <v>collect/miscellaneous/Dhaka FM/DFM - AUDIO CLIP (03-01-2023)/633c438c-171d-4351-b24f-0776c9f77a77.flac</v>
      </c>
      <c r="B27" s="2">
        <f>IFERROR(__xludf.DUMMYFUNCTION("""COMPUTED_VALUE"""),10.14)</f>
        <v>10.14</v>
      </c>
      <c r="C27" s="2" t="str">
        <f>IFERROR(__xludf.DUMMYFUNCTION("""COMPUTED_VALUE"""),"তে চান ওয়ান সিক্সটোসিক্সি এই নম্বার এসমস করে তো পারেন অবশ্যই শুরুতে নাম এরপর আপনা লোকেশন লিখে তারপর বাকি কথা সবকিছু িলিখেছেন করুন এক ছয় দুই ছয় শূন্য এই নম্বরে")</f>
        <v>তে চান ওয়ান সিক্সটোসিক্সি এই নম্বার এসমস করে তো পারেন অবশ্যই শুরুতে নাম এরপর আপনা লোকেশন লিখে তারপর বাকি কথা সবকিছু িলিখেছেন করুন এক ছয় দুই ছয় শূন্য এই নম্বরে</v>
      </c>
      <c r="D27" s="2" t="str">
        <f>IFERROR(__xludf.DUMMYFUNCTION("""COMPUTED_VALUE"""),"No")</f>
        <v>No</v>
      </c>
      <c r="E27" s="2" t="str">
        <f>IFERROR(__xludf.DUMMYFUNCTION("""COMPUTED_VALUE"""),"Yes")</f>
        <v>Yes</v>
      </c>
      <c r="F27" s="2" t="str">
        <f>IFERROR(__xludf.DUMMYFUNCTION("""COMPUTED_VALUE"""),"Yes")</f>
        <v>Yes</v>
      </c>
      <c r="G27" s="2">
        <f>IFERROR(__xludf.DUMMYFUNCTION("""COMPUTED_VALUE"""),0.5)</f>
        <v>0.5</v>
      </c>
      <c r="H27" s="2">
        <f>IFERROR(__xludf.DUMMYFUNCTION("""COMPUTED_VALUE"""),0.5)</f>
        <v>0.5</v>
      </c>
      <c r="I27" s="2">
        <f>IFERROR(__xludf.DUMMYFUNCTION("""COMPUTED_VALUE"""),0.5)</f>
        <v>0.5</v>
      </c>
      <c r="J27" s="2">
        <f>IFERROR(__xludf.DUMMYFUNCTION("""COMPUTED_VALUE"""),0.0)</f>
        <v>0</v>
      </c>
      <c r="K27" s="2" t="str">
        <f>IFERROR(__xludf.DUMMYFUNCTION("""COMPUTED_VALUE"""),"3 – Mixed language or inconsistent quality")</f>
        <v>3 – Mixed language or inconsistent quality</v>
      </c>
      <c r="L27" s="2" t="str">
        <f>IFERROR(__xludf.DUMMYFUNCTION("""COMPUTED_VALUE"""),"Yes")</f>
        <v>Yes</v>
      </c>
    </row>
    <row r="28">
      <c r="A28" s="2" t="str">
        <f>IFERROR(__xludf.DUMMYFUNCTION("""COMPUTED_VALUE"""),"collect/miscellaneous/Dhaka FM/DFM - AUDIO CLIP (03-01-2023)/671a1b62-cb4f-48d1-a371-246e71449b4a.flac")</f>
        <v>collect/miscellaneous/Dhaka FM/DFM - AUDIO CLIP (03-01-2023)/671a1b62-cb4f-48d1-a371-246e71449b4a.flac</v>
      </c>
      <c r="B28" s="2">
        <f>IFERROR(__xludf.DUMMYFUNCTION("""COMPUTED_VALUE"""),24.029)</f>
        <v>24.029</v>
      </c>
      <c r="C28" s="2" t="str">
        <f>IFERROR(__xludf.DUMMYFUNCTION("""COMPUTED_VALUE"""),"হ্যাকটা ভালো লাগলে তো বারেকটা কি করা যায় না এয়ারফ্রেশনার অবশ্যই এয়ারফ্রেশনার আপনি ইউজ করতে পারেন কিন্তু একটা সার্টেন্টাইমের পর এয়ারফারেশনালের গন্ধটা কিন্তু ঘরে থাকে না তখনই কামনা একটা বিদঘুটে গন্ধ হয়ে যায় সো ওই গ্রন্থটা তাড়ানোর জন্য কিন্তু আপনি ি একটা কাজ"&amp;"ে লাগাতে পারেন ওকে ওকে নাওস্ টাইম ফরার সং ্যান্ড এইন জয়াদে ট্রাইক াননিউয়ার লিসিনিং অ্যাকনেইশন এক্সটেশন")</f>
        <v>হ্যাকটা ভালো লাগলে তো বারেকটা কি করা যায় না এয়ারফ্রেশনার অবশ্যই এয়ারফ্রেশনার আপনি ইউজ করতে পারেন কিন্তু একটা সার্টেন্টাইমের পর এয়ারফারেশনালের গন্ধটা কিন্তু ঘরে থাকে না তখনই কামনা একটা বিদঘুটে গন্ধ হয়ে যায় সো ওই গ্রন্থটা তাড়ানোর জন্য কিন্তু আপনি ি একটা কাজে লাগাতে পারেন ওকে ওকে নাওস্ টাইম ফরার সং ্যান্ড এইন জয়াদে ট্রাইক াননিউয়ার লিসিনিং অ্যাকনেইশন এক্সটেশন</v>
      </c>
      <c r="D28" s="2" t="str">
        <f>IFERROR(__xludf.DUMMYFUNCTION("""COMPUTED_VALUE"""),"Yes")</f>
        <v>Yes</v>
      </c>
      <c r="E28" s="2" t="str">
        <f>IFERROR(__xludf.DUMMYFUNCTION("""COMPUTED_VALUE"""),"Yes")</f>
        <v>Yes</v>
      </c>
      <c r="F28" s="2" t="str">
        <f>IFERROR(__xludf.DUMMYFUNCTION("""COMPUTED_VALUE"""),"Yes")</f>
        <v>Yes</v>
      </c>
      <c r="G28" s="2">
        <f>IFERROR(__xludf.DUMMYFUNCTION("""COMPUTED_VALUE"""),0.5)</f>
        <v>0.5</v>
      </c>
      <c r="H28" s="2">
        <f>IFERROR(__xludf.DUMMYFUNCTION("""COMPUTED_VALUE"""),0.5)</f>
        <v>0.5</v>
      </c>
      <c r="I28" s="2">
        <f>IFERROR(__xludf.DUMMYFUNCTION("""COMPUTED_VALUE"""),0.5)</f>
        <v>0.5</v>
      </c>
      <c r="J28" s="2">
        <f>IFERROR(__xludf.DUMMYFUNCTION("""COMPUTED_VALUE"""),0.0)</f>
        <v>0</v>
      </c>
      <c r="K28" s="2" t="str">
        <f>IFERROR(__xludf.DUMMYFUNCTION("""COMPUTED_VALUE"""),"4– Usable, minor flaws Minor background noise.")</f>
        <v>4– Usable, minor flaws Minor background noise.</v>
      </c>
      <c r="L28" s="2" t="str">
        <f>IFERROR(__xludf.DUMMYFUNCTION("""COMPUTED_VALUE"""),"Yes")</f>
        <v>Yes</v>
      </c>
    </row>
    <row r="29">
      <c r="A29" s="2" t="str">
        <f>IFERROR(__xludf.DUMMYFUNCTION("""COMPUTED_VALUE"""),"collect/miscellaneous/Dhaka FM/DFM - AUDIO CLIP (03-01-2023)/722b9913-02c0-4d1d-b8c5-fc055677a40f.flac")</f>
        <v>collect/miscellaneous/Dhaka FM/DFM - AUDIO CLIP (03-01-2023)/722b9913-02c0-4d1d-b8c5-fc055677a40f.flac</v>
      </c>
      <c r="B29" s="2">
        <f>IFERROR(__xludf.DUMMYFUNCTION("""COMPUTED_VALUE"""),17.488)</f>
        <v>17.488</v>
      </c>
      <c r="C29" s="2" t="str">
        <f>IFERROR(__xludf.DUMMYFUNCTION("""COMPUTED_VALUE"""),"কনের আচার বানিয়ে রাখেন তো এ রকম করে কিন্তু আপনি বানিয়ে রাখতে পারেন তবে মেলাদিন রেখে দেওয়ার স্বপ্ন দেখেন না যেন বানা পরে ওটা খেয়ে শেষ করে দেওয়ারই সিদ্ধান্ত নিয়েন মন খারাপ কড়েন না যদি খেয়ে বাচ্চারা শেষ করে ফেলে ওকে না হয়েন জায়দা ট্রাক")</f>
        <v>কনের আচার বানিয়ে রাখেন তো এ রকম করে কিন্তু আপনি বানিয়ে রাখতে পারেন তবে মেলাদিন রেখে দেওয়ার স্বপ্ন দেখেন না যেন বানা পরে ওটা খেয়ে শেষ করে দেওয়ারই সিদ্ধান্ত নিয়েন মন খারাপ কড়েন না যদি খেয়ে বাচ্চারা শেষ করে ফেলে ওকে না হয়েন জায়দা ট্রাক</v>
      </c>
      <c r="D29" s="2" t="str">
        <f>IFERROR(__xludf.DUMMYFUNCTION("""COMPUTED_VALUE"""),"Yes")</f>
        <v>Yes</v>
      </c>
      <c r="E29" s="2" t="str">
        <f>IFERROR(__xludf.DUMMYFUNCTION("""COMPUTED_VALUE"""),"No")</f>
        <v>No</v>
      </c>
      <c r="F29" s="2" t="str">
        <f>IFERROR(__xludf.DUMMYFUNCTION("""COMPUTED_VALUE"""),"Yes")</f>
        <v>Yes</v>
      </c>
      <c r="G29" s="2">
        <f>IFERROR(__xludf.DUMMYFUNCTION("""COMPUTED_VALUE"""),0.5)</f>
        <v>0.5</v>
      </c>
      <c r="H29" s="2">
        <f>IFERROR(__xludf.DUMMYFUNCTION("""COMPUTED_VALUE"""),0.5)</f>
        <v>0.5</v>
      </c>
      <c r="I29" s="2">
        <f>IFERROR(__xludf.DUMMYFUNCTION("""COMPUTED_VALUE"""),1.0)</f>
        <v>1</v>
      </c>
      <c r="J29" s="2">
        <f>IFERROR(__xludf.DUMMYFUNCTION("""COMPUTED_VALUE"""),0.0)</f>
        <v>0</v>
      </c>
      <c r="K29" s="2" t="str">
        <f>IFERROR(__xludf.DUMMYFUNCTION("""COMPUTED_VALUE"""),"4– Usable, minor flaws Minor background noise.")</f>
        <v>4– Usable, minor flaws Minor background noise.</v>
      </c>
      <c r="L29" s="2" t="str">
        <f>IFERROR(__xludf.DUMMYFUNCTION("""COMPUTED_VALUE"""),"No")</f>
        <v>No</v>
      </c>
    </row>
    <row r="30">
      <c r="A30" s="2" t="str">
        <f>IFERROR(__xludf.DUMMYFUNCTION("""COMPUTED_VALUE"""),"collect/miscellaneous/Dhaka FM/DFM - AUDIO CLIP (03-01-2023)/764af8f2-a0df-469c-ac4e-09535858d623.flac")</f>
        <v>collect/miscellaneous/Dhaka FM/DFM - AUDIO CLIP (03-01-2023)/764af8f2-a0df-469c-ac4e-09535858d623.flac</v>
      </c>
      <c r="B30" s="2">
        <f>IFERROR(__xludf.DUMMYFUNCTION("""COMPUTED_VALUE"""),17.833)</f>
        <v>17.833</v>
      </c>
      <c r="C30" s="2" t="str">
        <f>IFERROR(__xludf.DUMMYFUNCTION("""COMPUTED_VALUE"""),"দেন আপনি যখন হাতে এটা মুছতে যাবেন টিসু দিেওার কাপড়তে দেখবেন খুব সুন্দর ভাবে পেইন্টটা উঠে যাচ্ছে হাত থেকে বিকাজ অব দ্যাট হ্যান্ড ক্রেম ওকে হ্যান্ডক্রিমে কোনো ব্র্যান্ডের দরকার নেই এনেতিং ওয়াচি স্যান ইউর ইউজুয়াল ওয়ান ওকে কেে নামেন জায়ীদে ট্রাইক")</f>
        <v>দেন আপনি যখন হাতে এটা মুছতে যাবেন টিসু দিেওার কাপড়তে দেখবেন খুব সুন্দর ভাবে পেইন্টটা উঠে যাচ্ছে হাত থেকে বিকাজ অব দ্যাট হ্যান্ড ক্রেম ওকে হ্যান্ডক্রিমে কোনো ব্র্যান্ডের দরকার নেই এনেতিং ওয়াচি স্যান ইউর ইউজুয়াল ওয়ান ওকে কেে নামেন জায়ীদে ট্রাইক</v>
      </c>
      <c r="D30" s="2" t="str">
        <f>IFERROR(__xludf.DUMMYFUNCTION("""COMPUTED_VALUE"""),"Yes")</f>
        <v>Yes</v>
      </c>
      <c r="E30" s="2" t="str">
        <f>IFERROR(__xludf.DUMMYFUNCTION("""COMPUTED_VALUE"""),"Yes")</f>
        <v>Yes</v>
      </c>
      <c r="F30" s="2" t="str">
        <f>IFERROR(__xludf.DUMMYFUNCTION("""COMPUTED_VALUE"""),"Yes")</f>
        <v>Yes</v>
      </c>
      <c r="G30" s="2">
        <f>IFERROR(__xludf.DUMMYFUNCTION("""COMPUTED_VALUE"""),0.5)</f>
        <v>0.5</v>
      </c>
      <c r="H30" s="2">
        <f>IFERROR(__xludf.DUMMYFUNCTION("""COMPUTED_VALUE"""),0.5)</f>
        <v>0.5</v>
      </c>
      <c r="I30" s="2">
        <f>IFERROR(__xludf.DUMMYFUNCTION("""COMPUTED_VALUE"""),0.5)</f>
        <v>0.5</v>
      </c>
      <c r="J30" s="2">
        <f>IFERROR(__xludf.DUMMYFUNCTION("""COMPUTED_VALUE"""),0.0)</f>
        <v>0</v>
      </c>
      <c r="K30" s="2" t="str">
        <f>IFERROR(__xludf.DUMMYFUNCTION("""COMPUTED_VALUE"""),"3 – Mixed language or inconsistent quality")</f>
        <v>3 – Mixed language or inconsistent quality</v>
      </c>
      <c r="L30" s="2" t="str">
        <f>IFERROR(__xludf.DUMMYFUNCTION("""COMPUTED_VALUE"""),"Yes")</f>
        <v>Yes</v>
      </c>
    </row>
    <row r="31">
      <c r="A31" s="2" t="str">
        <f>IFERROR(__xludf.DUMMYFUNCTION("""COMPUTED_VALUE"""),"collect/miscellaneous/Dhaka FM/DFM - AUDIO CLIP (03-01-2023)/837f8dde-9a75-4229-ad19-8a2b50c700c7.flac")</f>
        <v>collect/miscellaneous/Dhaka FM/DFM - AUDIO CLIP (03-01-2023)/837f8dde-9a75-4229-ad19-8a2b50c700c7.flac</v>
      </c>
      <c r="B31" s="2">
        <f>IFERROR(__xludf.DUMMYFUNCTION("""COMPUTED_VALUE"""),30.0)</f>
        <v>30</v>
      </c>
      <c r="C31" s="2" t="str">
        <f>IFERROR(__xludf.DUMMYFUNCTION("""COMPUTED_VALUE"""),"স্নিকধেসএমে করেছেন শুবদপর জানিয়েছেন শবদ্দুপুর মতি নেসমেস করেছেন গানর করেছেন আচ্ছা আপনি কিন্তু পুনরো দিনের গান শুনতে চায়ে আমাকে রিকোর্জ্ করেছেন আমি অবশই ট্রাই করছি তবে এই ধরনের গান কিন্তু আপনি রেগুলার পেতে পারেন রেইডিও একশো দুই দশমিক চারইফের্মে সারাদিন রেড"&amp;"িও আমবারে এই গানগুলো বাজে কারণ রেডিও আমবার ফ হয়েছে এ ধরনের গানগুলো নিয়েছো ইউখেন গো দিয়ার অলসও ইভি ওয়ানটু গেট দি সংস অল লং ইনঅনডিএফএম")</f>
        <v>স্নিকধেসএমে করেছেন শুবদপর জানিয়েছেন শবদ্দুপুর মতি নেসমেস করেছেন গানর করেছেন আচ্ছা আপনি কিন্তু পুনরো দিনের গান শুনতে চায়ে আমাকে রিকোর্জ্ করেছেন আমি অবশই ট্রাই করছি তবে এই ধরনের গান কিন্তু আপনি রেগুলার পেতে পারেন রেইডিও একশো দুই দশমিক চারইফের্মে সারাদিন রেডিও আমবারে এই গানগুলো বাজে কারণ রেডিও আমবার ফ হয়েছে এ ধরনের গানগুলো নিয়েছো ইউখেন গো দিয়ার অলসও ইভি ওয়ানটু গেট দি সংস অল লং ইনঅনডিএফএম</v>
      </c>
      <c r="D31" s="2" t="str">
        <f>IFERROR(__xludf.DUMMYFUNCTION("""COMPUTED_VALUE"""),"No")</f>
        <v>No</v>
      </c>
      <c r="E31" s="2" t="str">
        <f>IFERROR(__xludf.DUMMYFUNCTION("""COMPUTED_VALUE"""),"Yes")</f>
        <v>Yes</v>
      </c>
      <c r="F31" s="2" t="str">
        <f>IFERROR(__xludf.DUMMYFUNCTION("""COMPUTED_VALUE"""),"Yes")</f>
        <v>Yes</v>
      </c>
      <c r="G31" s="2">
        <f>IFERROR(__xludf.DUMMYFUNCTION("""COMPUTED_VALUE"""),0.5)</f>
        <v>0.5</v>
      </c>
      <c r="H31" s="2">
        <f>IFERROR(__xludf.DUMMYFUNCTION("""COMPUTED_VALUE"""),0.5)</f>
        <v>0.5</v>
      </c>
      <c r="I31" s="2">
        <f>IFERROR(__xludf.DUMMYFUNCTION("""COMPUTED_VALUE"""),0.0)</f>
        <v>0</v>
      </c>
      <c r="J31" s="2">
        <f>IFERROR(__xludf.DUMMYFUNCTION("""COMPUTED_VALUE"""),0.0)</f>
        <v>0</v>
      </c>
      <c r="K31" s="2" t="str">
        <f>IFERROR(__xludf.DUMMYFUNCTION("""COMPUTED_VALUE"""),"3 – Mixed language or inconsistent quality")</f>
        <v>3 – Mixed language or inconsistent quality</v>
      </c>
      <c r="L31" s="2" t="str">
        <f>IFERROR(__xludf.DUMMYFUNCTION("""COMPUTED_VALUE"""),"Yes")</f>
        <v>Yes</v>
      </c>
    </row>
    <row r="32">
      <c r="A32" s="2" t="str">
        <f>IFERROR(__xludf.DUMMYFUNCTION("""COMPUTED_VALUE"""),"collect/miscellaneous/Dhaka FM/DFM - AUDIO CLIP (03-01-2023)/901e4120-97d8-45f6-91fd-f49a90414f4a.flac")</f>
        <v>collect/miscellaneous/Dhaka FM/DFM - AUDIO CLIP (03-01-2023)/901e4120-97d8-45f6-91fd-f49a90414f4a.flac</v>
      </c>
      <c r="B32" s="2">
        <f>IFERROR(__xludf.DUMMYFUNCTION("""COMPUTED_VALUE"""),30.0)</f>
        <v>30</v>
      </c>
      <c r="C32" s="2" t="str">
        <f>IFERROR(__xludf.DUMMYFUNCTION("""COMPUTED_VALUE"""),"ওয়ানসর টুয়াইজা উইক করেন দেখবেন যে হাঁটোর কালো দাএকটা কাল ছিটে দাগটা চলে যাচ্ছে এমনকে হাতের কন এএর দাগটাও চলে যাচ্ছে ইউস্যু ট্রায় আমরা এক বি সচেতন আমরা আরও আগে থেকেই সচেতন এই হোম রেমিডিগুলো আমরা সে জন্মলগ্ন থেকে দেখে আসছি ঘরোয়াভাবে করা হয় এক ন্যা টেকনোলজির"&amp;" বদলতে অনেক কেমিক্যাল আমরা খুব ইজিলি পেয়ে যায় ফরাওয়ার স্কিন আওয়ার হেয়ার ওকে কোকে সো ট্রাইদিস ওমরা মেেডি ওয়াল ওয়াল নাম ইঞ্জয়াদা ট্রাক")</f>
        <v>ওয়ানসর টুয়াইজা উইক করেন দেখবেন যে হাঁটোর কালো দাএকটা কাল ছিটে দাগটা চলে যাচ্ছে এমনকে হাতের কন এএর দাগটাও চলে যাচ্ছে ইউস্যু ট্রায় আমরা এক বি সচেতন আমরা আরও আগে থেকেই সচেতন এই হোম রেমিডিগুলো আমরা সে জন্মলগ্ন থেকে দেখে আসছি ঘরোয়াভাবে করা হয় এক ন্যা টেকনোলজির বদলতে অনেক কেমিক্যাল আমরা খুব ইজিলি পেয়ে যায় ফরাওয়ার স্কিন আওয়ার হেয়ার ওকে কোকে সো ট্রাইদিস ওমরা মেেডি ওয়াল ওয়াল নাম ইঞ্জয়াদা ট্রাক</v>
      </c>
      <c r="D32" s="2" t="str">
        <f>IFERROR(__xludf.DUMMYFUNCTION("""COMPUTED_VALUE"""),"Yes")</f>
        <v>Yes</v>
      </c>
      <c r="E32" s="2" t="str">
        <f>IFERROR(__xludf.DUMMYFUNCTION("""COMPUTED_VALUE"""),"Yes")</f>
        <v>Yes</v>
      </c>
      <c r="F32" s="2" t="str">
        <f>IFERROR(__xludf.DUMMYFUNCTION("""COMPUTED_VALUE"""),"Yes")</f>
        <v>Yes</v>
      </c>
      <c r="G32" s="2">
        <f>IFERROR(__xludf.DUMMYFUNCTION("""COMPUTED_VALUE"""),0.5)</f>
        <v>0.5</v>
      </c>
      <c r="H32" s="2">
        <f>IFERROR(__xludf.DUMMYFUNCTION("""COMPUTED_VALUE"""),0.5)</f>
        <v>0.5</v>
      </c>
      <c r="I32" s="2">
        <f>IFERROR(__xludf.DUMMYFUNCTION("""COMPUTED_VALUE"""),0.5)</f>
        <v>0.5</v>
      </c>
      <c r="J32" s="2">
        <f>IFERROR(__xludf.DUMMYFUNCTION("""COMPUTED_VALUE"""),0.0)</f>
        <v>0</v>
      </c>
      <c r="K32" s="2" t="str">
        <f>IFERROR(__xludf.DUMMYFUNCTION("""COMPUTED_VALUE"""),"3 – Mixed language or inconsistent quality")</f>
        <v>3 – Mixed language or inconsistent quality</v>
      </c>
      <c r="L32" s="2" t="str">
        <f>IFERROR(__xludf.DUMMYFUNCTION("""COMPUTED_VALUE"""),"Yes")</f>
        <v>Yes</v>
      </c>
    </row>
    <row r="33">
      <c r="A33" s="2" t="str">
        <f>IFERROR(__xludf.DUMMYFUNCTION("""COMPUTED_VALUE"""),"collect/miscellaneous/Dhaka FM/DFM - AUDIO CLIP (03-01-2023)/987a82b0-6854-4b1a-9c9d-31366f330b12.flac")</f>
        <v>collect/miscellaneous/Dhaka FM/DFM - AUDIO CLIP (03-01-2023)/987a82b0-6854-4b1a-9c9d-31366f330b12.flac</v>
      </c>
      <c r="B33" s="2">
        <f>IFERROR(__xludf.DUMMYFUNCTION("""COMPUTED_VALUE"""),30.0)</f>
        <v>30</v>
      </c>
      <c r="C33" s="2" t="str">
        <f>IFERROR(__xludf.DUMMYFUNCTION("""COMPUTED_VALUE"""),"দেন যখন আপনি অনপ্রফেশনাল ওয়েতে পেইন্ট করবেন আমরা যা প্রফেশনালদের হাতেও পেইন্টিং রং লেগে যে বার দের নো ও হাউটু রি মোভ দ্যার থিং বাটা আমরা তো আন প্রফেশনাল আমরা তো অনেক সময় এটা জানি না এবং মাথায় তখন যখন মাথাটা ঠাণ্ডা হয়েছে তখন বলে আল্লাহে রঙ্গে গড়ে তুলবো হ্য"&amp;"াঁ ফোর দ্যাট্রিজেন ইউহাফটু ইউজ হ্যান্ডক্রিম বিফোর স্ট্াটিওর পেইন্টিং তারপর যখন পেন্টফেন্ট করা হয়ে যাবে আপনার কৌটায় কিংবা আপনার কোনো কিছুতে দেয়ালে")</f>
        <v>দেন যখন আপনি অনপ্রফেশনাল ওয়েতে পেইন্ট করবেন আমরা যা প্রফেশনালদের হাতেও পেইন্টিং রং লেগে যে বার দের নো ও হাউটু রি মোভ দ্যার থিং বাটা আমরা তো আন প্রফেশনাল আমরা তো অনেক সময় এটা জানি না এবং মাথায় তখন যখন মাথাটা ঠাণ্ডা হয়েছে তখন বলে আল্লাহে রঙ্গে গড়ে তুলবো হ্যাঁ ফোর দ্যাট্রিজেন ইউহাফটু ইউজ হ্যান্ডক্রিম বিফোর স্ট্াটিওর পেইন্টিং তারপর যখন পেন্টফেন্ট করা হয়ে যাবে আপনার কৌটায় কিংবা আপনার কোনো কিছুতে দেয়ালে</v>
      </c>
      <c r="D33" s="2" t="str">
        <f>IFERROR(__xludf.DUMMYFUNCTION("""COMPUTED_VALUE"""),"Yes")</f>
        <v>Yes</v>
      </c>
      <c r="E33" s="2" t="str">
        <f>IFERROR(__xludf.DUMMYFUNCTION("""COMPUTED_VALUE"""),"No")</f>
        <v>No</v>
      </c>
      <c r="F33" s="2" t="str">
        <f>IFERROR(__xludf.DUMMYFUNCTION("""COMPUTED_VALUE"""),"Yes")</f>
        <v>Yes</v>
      </c>
      <c r="G33" s="2">
        <f>IFERROR(__xludf.DUMMYFUNCTION("""COMPUTED_VALUE"""),1.0)</f>
        <v>1</v>
      </c>
      <c r="H33" s="2">
        <f>IFERROR(__xludf.DUMMYFUNCTION("""COMPUTED_VALUE"""),1.0)</f>
        <v>1</v>
      </c>
      <c r="I33" s="2">
        <f>IFERROR(__xludf.DUMMYFUNCTION("""COMPUTED_VALUE"""),0.5)</f>
        <v>0.5</v>
      </c>
      <c r="J33" s="2">
        <f>IFERROR(__xludf.DUMMYFUNCTION("""COMPUTED_VALUE"""),0.0)</f>
        <v>0</v>
      </c>
      <c r="K33" s="2" t="str">
        <f>IFERROR(__xludf.DUMMYFUNCTION("""COMPUTED_VALUE"""),"4– Usable, minor flaws Minor background noise.")</f>
        <v>4– Usable, minor flaws Minor background noise.</v>
      </c>
      <c r="L33" s="2" t="str">
        <f>IFERROR(__xludf.DUMMYFUNCTION("""COMPUTED_VALUE"""),"Yes")</f>
        <v>Yes</v>
      </c>
    </row>
    <row r="34">
      <c r="A34" s="2" t="str">
        <f>IFERROR(__xludf.DUMMYFUNCTION("""COMPUTED_VALUE"""),"collect/miscellaneous/Dhaka FM/DFM - AUDIO CLIP (03-01-2023)/3726bbde-37e8-4346-a01e-8067ec2e6e99.flac")</f>
        <v>collect/miscellaneous/Dhaka FM/DFM - AUDIO CLIP (03-01-2023)/3726bbde-37e8-4346-a01e-8067ec2e6e99.flac</v>
      </c>
      <c r="B34" s="2">
        <f>IFERROR(__xludf.DUMMYFUNCTION("""COMPUTED_VALUE"""),13.84)</f>
        <v>13.84</v>
      </c>
      <c r="C34" s="2" t="str">
        <f>IFERROR(__xludf.DUMMYFUNCTION("""COMPUTED_VALUE"""),"ইসলামিক এমএফএস অ্যাকাউন্ট আছে আপনাদের সাথে আপনারা চাইলে এই মোবাইল লেনদেনের নানারকম সুবিধা উপভোগ করতে পারবেন সুদবিহীন এই নগদ ইসলামিক এমএফএস অ্যাকাউন্ট থেকে এইছি লাব ডেট আপনি শুনছেন নাইনটি পয়েন্ট ফোর")</f>
        <v>ইসলামিক এমএফএস অ্যাকাউন্ট আছে আপনাদের সাথে আপনারা চাইলে এই মোবাইল লেনদেনের নানারকম সুবিধা উপভোগ করতে পারবেন সুদবিহীন এই নগদ ইসলামিক এমএফএস অ্যাকাউন্ট থেকে এইছি লাব ডেট আপনি শুনছেন নাইনটি পয়েন্ট ফোর</v>
      </c>
      <c r="D34" s="2" t="str">
        <f>IFERROR(__xludf.DUMMYFUNCTION("""COMPUTED_VALUE"""),"Yes")</f>
        <v>Yes</v>
      </c>
      <c r="E34" s="2" t="str">
        <f>IFERROR(__xludf.DUMMYFUNCTION("""COMPUTED_VALUE"""),"No")</f>
        <v>No</v>
      </c>
      <c r="F34" s="2" t="str">
        <f>IFERROR(__xludf.DUMMYFUNCTION("""COMPUTED_VALUE"""),"Yes")</f>
        <v>Yes</v>
      </c>
      <c r="G34" s="2">
        <f>IFERROR(__xludf.DUMMYFUNCTION("""COMPUTED_VALUE"""),1.0)</f>
        <v>1</v>
      </c>
      <c r="H34" s="2">
        <f>IFERROR(__xludf.DUMMYFUNCTION("""COMPUTED_VALUE"""),1.0)</f>
        <v>1</v>
      </c>
      <c r="I34" s="2">
        <f>IFERROR(__xludf.DUMMYFUNCTION("""COMPUTED_VALUE"""),1.0)</f>
        <v>1</v>
      </c>
      <c r="J34" s="2">
        <f>IFERROR(__xludf.DUMMYFUNCTION("""COMPUTED_VALUE"""),0.0)</f>
        <v>0</v>
      </c>
      <c r="K34" s="2" t="str">
        <f>IFERROR(__xludf.DUMMYFUNCTION("""COMPUTED_VALUE"""),"5 – High-quality, Clean Bangla speech")</f>
        <v>5 – High-quality, Clean Bangla speech</v>
      </c>
      <c r="L34" s="2" t="str">
        <f>IFERROR(__xludf.DUMMYFUNCTION("""COMPUTED_VALUE"""),"No")</f>
        <v>No</v>
      </c>
    </row>
    <row r="35">
      <c r="A35" s="2" t="str">
        <f>IFERROR(__xludf.DUMMYFUNCTION("""COMPUTED_VALUE"""),"collect/miscellaneous/Dhaka FM/DFM - AUDIO CLIP (03-01-2023)/5573e104-c648-4f6f-a2bc-7ed6ca2e4c8c.flac")</f>
        <v>collect/miscellaneous/Dhaka FM/DFM - AUDIO CLIP (03-01-2023)/5573e104-c648-4f6f-a2bc-7ed6ca2e4c8c.flac</v>
      </c>
      <c r="B35" s="2">
        <f>IFERROR(__xludf.DUMMYFUNCTION("""COMPUTED_VALUE"""),30.0)</f>
        <v>30</v>
      </c>
      <c r="C35" s="2" t="str">
        <f>IFERROR(__xludf.DUMMYFUNCTION("""COMPUTED_VALUE"""),"নগদ ঈদ শোপিং অপটিড স্বাগতম শুনেছেন ঢাকায় ফ্যেমদারি পয়েন্ট ফোর অ্যাটনিকেশনা এক্স্টেশন নিদ ঘনিয়ে আসলে সবার মধ্যেই এরকম আগ্রহ জন্মায় যে এবারের ঈদে কি ট্রেন্ড আসতে যাচ্ছে রা এট এবারের ঈদে কোথায় যাব কোন শপিং মলে গেলে পেস্ট প্রোডাক্টা পাওয়া যাবে সো এটাই আমরা এখ"&amp;"ন ফাইন্ডআউট করব কারণ জুয়েল ভাই এই মুহূর্তে রেডি হয়ে আছে আপনাদেরকে নগদীৎ শপিং আপডেট দেবার জন্য ছালেঞ জেনডি জুয়েল ভাই কিপালে স্বাগত আরো একবার নগদের সৌজন্য ঈদ শপিং আপডেটে কিছুক্ষণ আগে আি")</f>
        <v>নগদ ঈদ শোপিং অপটিড স্বাগতম শুনেছেন ঢাকায় ফ্যেমদারি পয়েন্ট ফোর অ্যাটনিকেশনা এক্স্টেশন নিদ ঘনিয়ে আসলে সবার মধ্যেই এরকম আগ্রহ জন্মায় যে এবারের ঈদে কি ট্রেন্ড আসতে যাচ্ছে রা এট এবারের ঈদে কোথায় যাব কোন শপিং মলে গেলে পেস্ট প্রোডাক্টা পাওয়া যাবে সো এটাই আমরা এখন ফাইন্ডআউট করব কারণ জুয়েল ভাই এই মুহূর্তে রেডি হয়ে আছে আপনাদেরকে নগদীৎ শপিং আপডেট দেবার জন্য ছালেঞ জেনডি জুয়েল ভাই কিপালে স্বাগত আরো একবার নগদের সৌজন্য ঈদ শপিং আপডেটে কিছুক্ষণ আগে আি</v>
      </c>
      <c r="D35" s="2" t="str">
        <f>IFERROR(__xludf.DUMMYFUNCTION("""COMPUTED_VALUE"""),"No")</f>
        <v>No</v>
      </c>
      <c r="E35" s="2" t="str">
        <f>IFERROR(__xludf.DUMMYFUNCTION("""COMPUTED_VALUE"""),"Yes")</f>
        <v>Yes</v>
      </c>
      <c r="F35" s="2" t="str">
        <f>IFERROR(__xludf.DUMMYFUNCTION("""COMPUTED_VALUE"""),"Yes")</f>
        <v>Yes</v>
      </c>
      <c r="G35" s="2">
        <f>IFERROR(__xludf.DUMMYFUNCTION("""COMPUTED_VALUE"""),0.0)</f>
        <v>0</v>
      </c>
      <c r="H35" s="2">
        <f>IFERROR(__xludf.DUMMYFUNCTION("""COMPUTED_VALUE"""),0.0)</f>
        <v>0</v>
      </c>
      <c r="I35" s="2">
        <f>IFERROR(__xludf.DUMMYFUNCTION("""COMPUTED_VALUE"""),0.0)</f>
        <v>0</v>
      </c>
      <c r="J35" s="2">
        <f>IFERROR(__xludf.DUMMYFUNCTION("""COMPUTED_VALUE"""),0.0)</f>
        <v>0</v>
      </c>
      <c r="K35" s="2" t="str">
        <f>IFERROR(__xludf.DUMMYFUNCTION("""COMPUTED_VALUE"""),"1 - Unusable Severely degraded, or non-Bangla")</f>
        <v>1 - Unusable Severely degraded, or non-Bangla</v>
      </c>
      <c r="L35" s="2" t="str">
        <f>IFERROR(__xludf.DUMMYFUNCTION("""COMPUTED_VALUE"""),"No")</f>
        <v>No</v>
      </c>
    </row>
    <row r="36">
      <c r="A36" s="2" t="str">
        <f>IFERROR(__xludf.DUMMYFUNCTION("""COMPUTED_VALUE"""),"collect/miscellaneous/Dhaka FM/DFM - AUDIO CLIP (03-01-2023)/5948fd81-7903-49d6-ac77-314fd3c69019.flac")</f>
        <v>collect/miscellaneous/Dhaka FM/DFM - AUDIO CLIP (03-01-2023)/5948fd81-7903-49d6-ac77-314fd3c69019.flac</v>
      </c>
      <c r="B36" s="2">
        <f>IFERROR(__xludf.DUMMYFUNCTION("""COMPUTED_VALUE"""),26.26)</f>
        <v>26.26</v>
      </c>
      <c r="C36" s="2" t="str">
        <f>IFERROR(__xludf.DUMMYFUNCTION("""COMPUTED_VALUE"""),"অ্যাকাউন্ট সম্পূর্ণ শুধ্বিহীন তাই এই এমএফএস অ্যাকাউন্ট দিয়ে সেইন্ড মানি অ্যাডমানি মোবাইল রিচার্জ ডোনেশনসহ প্রতিদিনের সব ধরনের লেনদেন করতে পারবেন শরিয়া সম্মতভাবে আমরা যদি হালাল পথে চলি তাহলে আমাদের জন্যই আছে নগদ ইসলামিক এমএফএস অ্যাকাউন্ট শোরিয়া সম্মত এমএফএ"&amp;"স অ্যাকাউন্টের সার্ভিস নিন নিরাপত্তা ও বিশ্বস্ততার সাথে")</f>
        <v>অ্যাকাউন্ট সম্পূর্ণ শুধ্বিহীন তাই এই এমএফএস অ্যাকাউন্ট দিয়ে সেইন্ড মানি অ্যাডমানি মোবাইল রিচার্জ ডোনেশনসহ প্রতিদিনের সব ধরনের লেনদেন করতে পারবেন শরিয়া সম্মতভাবে আমরা যদি হালাল পথে চলি তাহলে আমাদের জন্যই আছে নগদ ইসলামিক এমএফএস অ্যাকাউন্ট শোরিয়া সম্মত এমএফএস অ্যাকাউন্টের সার্ভিস নিন নিরাপত্তা ও বিশ্বস্ততার সাথে</v>
      </c>
      <c r="D36" s="2" t="str">
        <f>IFERROR(__xludf.DUMMYFUNCTION("""COMPUTED_VALUE"""),"Yes")</f>
        <v>Yes</v>
      </c>
      <c r="E36" s="2" t="str">
        <f>IFERROR(__xludf.DUMMYFUNCTION("""COMPUTED_VALUE"""),"No")</f>
        <v>No</v>
      </c>
      <c r="F36" s="2" t="str">
        <f>IFERROR(__xludf.DUMMYFUNCTION("""COMPUTED_VALUE"""),"Yes")</f>
        <v>Yes</v>
      </c>
      <c r="G36" s="2">
        <f>IFERROR(__xludf.DUMMYFUNCTION("""COMPUTED_VALUE"""),1.0)</f>
        <v>1</v>
      </c>
      <c r="H36" s="2">
        <f>IFERROR(__xludf.DUMMYFUNCTION("""COMPUTED_VALUE"""),1.0)</f>
        <v>1</v>
      </c>
      <c r="I36" s="2">
        <f>IFERROR(__xludf.DUMMYFUNCTION("""COMPUTED_VALUE"""),1.0)</f>
        <v>1</v>
      </c>
      <c r="J36" s="2">
        <f>IFERROR(__xludf.DUMMYFUNCTION("""COMPUTED_VALUE"""),0.0)</f>
        <v>0</v>
      </c>
      <c r="K36" s="2" t="str">
        <f>IFERROR(__xludf.DUMMYFUNCTION("""COMPUTED_VALUE"""),"5 – High-quality, Clean Bangla speech")</f>
        <v>5 – High-quality, Clean Bangla speech</v>
      </c>
      <c r="L36" s="2" t="str">
        <f>IFERROR(__xludf.DUMMYFUNCTION("""COMPUTED_VALUE"""),"No")</f>
        <v>No</v>
      </c>
    </row>
    <row r="37">
      <c r="A37" s="2" t="str">
        <f>IFERROR(__xludf.DUMMYFUNCTION("""COMPUTED_VALUE"""),"collect/miscellaneous/Dhaka FM/DFM - AUDIO CLIP (03-01-2023)/6574f344-7644-4318-9990-f6d9b9e9621f.flac")</f>
        <v>collect/miscellaneous/Dhaka FM/DFM - AUDIO CLIP (03-01-2023)/6574f344-7644-4318-9990-f6d9b9e9621f.flac</v>
      </c>
      <c r="B37" s="2">
        <f>IFERROR(__xludf.DUMMYFUNCTION("""COMPUTED_VALUE"""),30.0)</f>
        <v>30</v>
      </c>
      <c r="C37" s="2" t="str">
        <f>IFERROR(__xludf.DUMMYFUNCTION("""COMPUTED_VALUE"""),"ইচ্ছি ততই কেন যেন শপিংয়ের দিকে আগ্রহ আরও ভেসে বেড়ে যাচ্ছে যাই বলেন না খেলন যতই রোজা রাখি রোজা রেখেও শপিংমূলেক ঘুরতে কোনো কষ্ট হয় না তাই তো আপনার কে সেইমফিল করেন আচ্ছা নগদের আরো কিছু আপডেইট আছে সেগুলো একটু জেনে নি চলন নগরাপ থেকে সান্ খুলে মিজ নাম্বারে বিশ "&amp;"টাকা মোবাইল রিচার্জে বিশ টাকা ক্যাশ ব্যাক দেশি নগরে বেশি লাভ নকুদ শোপিও কিট ওয়েলজিনি এবংআরও একটা সুখবর বলেন বারও কিছু")</f>
        <v>ইচ্ছি ততই কেন যেন শপিংয়ের দিকে আগ্রহ আরও ভেসে বেড়ে যাচ্ছে যাই বলেন না খেলন যতই রোজা রাখি রোজা রেখেও শপিংমূলেক ঘুরতে কোনো কষ্ট হয় না তাই তো আপনার কে সেইমফিল করেন আচ্ছা নগদের আরো কিছু আপডেইট আছে সেগুলো একটু জেনে নি চলন নগরাপ থেকে সান্ খুলে মিজ নাম্বারে বিশ টাকা মোবাইল রিচার্জে বিশ টাকা ক্যাশ ব্যাক দেশি নগরে বেশি লাভ নকুদ শোপিও কিট ওয়েলজিনি এবংআরও একটা সুখবর বলেন বারও কিছু</v>
      </c>
      <c r="D37" s="2" t="str">
        <f>IFERROR(__xludf.DUMMYFUNCTION("""COMPUTED_VALUE"""),"No")</f>
        <v>No</v>
      </c>
      <c r="E37" s="2" t="str">
        <f>IFERROR(__xludf.DUMMYFUNCTION("""COMPUTED_VALUE"""),"Yes")</f>
        <v>Yes</v>
      </c>
      <c r="F37" s="2" t="str">
        <f>IFERROR(__xludf.DUMMYFUNCTION("""COMPUTED_VALUE"""),"Yes")</f>
        <v>Yes</v>
      </c>
      <c r="G37" s="2">
        <f>IFERROR(__xludf.DUMMYFUNCTION("""COMPUTED_VALUE"""),0.0)</f>
        <v>0</v>
      </c>
      <c r="H37" s="2">
        <f>IFERROR(__xludf.DUMMYFUNCTION("""COMPUTED_VALUE"""),0.0)</f>
        <v>0</v>
      </c>
      <c r="I37" s="2">
        <f>IFERROR(__xludf.DUMMYFUNCTION("""COMPUTED_VALUE"""),0.0)</f>
        <v>0</v>
      </c>
      <c r="J37" s="2">
        <f>IFERROR(__xludf.DUMMYFUNCTION("""COMPUTED_VALUE"""),0.0)</f>
        <v>0</v>
      </c>
      <c r="K37" s="2" t="str">
        <f>IFERROR(__xludf.DUMMYFUNCTION("""COMPUTED_VALUE"""),"2 - Poor quality Noisy, unclear,")</f>
        <v>2 - Poor quality Noisy, unclear,</v>
      </c>
      <c r="L37" s="2" t="str">
        <f>IFERROR(__xludf.DUMMYFUNCTION("""COMPUTED_VALUE"""),"No")</f>
        <v>No</v>
      </c>
    </row>
    <row r="38">
      <c r="A38" s="2" t="str">
        <f>IFERROR(__xludf.DUMMYFUNCTION("""COMPUTED_VALUE"""),"collect/miscellaneous/Dhaka FM/DFM - AUDIO CLIP (03-01-2023)/7210eca6-c641-46fa-a9ae-517929cdf273.flac")</f>
        <v>collect/miscellaneous/Dhaka FM/DFM - AUDIO CLIP (03-01-2023)/7210eca6-c641-46fa-a9ae-517929cdf273.flac</v>
      </c>
      <c r="B38" s="2">
        <f>IFERROR(__xludf.DUMMYFUNCTION("""COMPUTED_VALUE"""),13.986)</f>
        <v>13.986</v>
      </c>
      <c r="C38" s="2" t="str">
        <f>IFERROR(__xludf.DUMMYFUNCTION("""COMPUTED_VALUE"""),"ভয়স্কল টিভি মুভি সবকিছু একসাথে বিশ্বাস হলো তো জুন্ন মডিটালস ভেজেট ডেবলিউডেব্লিউডব্লিউ ড াম্বার একটি ডটকম ডল ভিডি এবং কল করে জেরোনাইনসিক্স ডেবেলওয়ান ট্রিপাল থ্রি ট্রিপল সেভেন এই নম্বারে")</f>
        <v>ভয়স্কল টিভি মুভি সবকিছু একসাথে বিশ্বাস হলো তো জুন্ন মডিটালস ভেজেট ডেবলিউডেব্লিউডব্লিউ ড াম্বার একটি ডটকম ডল ভিডি এবং কল করে জেরোনাইনসিক্স ডেবেলওয়ান ট্রিপাল থ্রি ট্রিপল সেভেন এই নম্বারে</v>
      </c>
      <c r="D38" s="2" t="str">
        <f>IFERROR(__xludf.DUMMYFUNCTION("""COMPUTED_VALUE"""),"Yes")</f>
        <v>Yes</v>
      </c>
      <c r="E38" s="2" t="str">
        <f>IFERROR(__xludf.DUMMYFUNCTION("""COMPUTED_VALUE"""),"Yes")</f>
        <v>Yes</v>
      </c>
      <c r="F38" s="2" t="str">
        <f>IFERROR(__xludf.DUMMYFUNCTION("""COMPUTED_VALUE"""),"Yes")</f>
        <v>Yes</v>
      </c>
      <c r="G38" s="2">
        <f>IFERROR(__xludf.DUMMYFUNCTION("""COMPUTED_VALUE"""),0.5)</f>
        <v>0.5</v>
      </c>
      <c r="H38" s="2">
        <f>IFERROR(__xludf.DUMMYFUNCTION("""COMPUTED_VALUE"""),0.5)</f>
        <v>0.5</v>
      </c>
      <c r="I38" s="2">
        <f>IFERROR(__xludf.DUMMYFUNCTION("""COMPUTED_VALUE"""),0.5)</f>
        <v>0.5</v>
      </c>
      <c r="J38" s="2">
        <f>IFERROR(__xludf.DUMMYFUNCTION("""COMPUTED_VALUE"""),0.0)</f>
        <v>0</v>
      </c>
      <c r="K38" s="2" t="str">
        <f>IFERROR(__xludf.DUMMYFUNCTION("""COMPUTED_VALUE"""),"3 – Mixed language or inconsistent quality")</f>
        <v>3 – Mixed language or inconsistent quality</v>
      </c>
      <c r="L38" s="2" t="str">
        <f>IFERROR(__xludf.DUMMYFUNCTION("""COMPUTED_VALUE"""),"Yes")</f>
        <v>Yes</v>
      </c>
    </row>
    <row r="39">
      <c r="A39" s="2" t="str">
        <f>IFERROR(__xludf.DUMMYFUNCTION("""COMPUTED_VALUE"""),"collect/miscellaneous/Dhaka FM/DFM - AUDIO CLIP (03-01-2023)/7387b880-18df-496b-9844-e90602cebc5e.flac")</f>
        <v>collect/miscellaneous/Dhaka FM/DFM - AUDIO CLIP (03-01-2023)/7387b880-18df-496b-9844-e90602cebc5e.flac</v>
      </c>
      <c r="B39" s="2">
        <f>IFERROR(__xludf.DUMMYFUNCTION("""COMPUTED_VALUE"""),28.002)</f>
        <v>28.002</v>
      </c>
      <c r="C39" s="2" t="str">
        <f>IFERROR(__xludf.DUMMYFUNCTION("""COMPUTED_VALUE"""),"তেব্বিশ টাকা ক্যাশ ব্যাক দেশী নগদে বেশি লাভ নগুদ ঈদ শোপিংয়ত ওয়েলকাম ব্যাক্টি ঢাকায় ফেমনে ইডি পয়েন্ট ফর এবং যা বলছিলাম নগদের আরও কিছু কথা আসে তা হলো নগদ ইসলামিক এমএফএস অ্যাকাউন্ট থেকে হজ টোরস অ্ান্ড ট্রাবেল স পেমেন্ট করা খুবই সহজ তাই আপনারা যারা হজে যাওয়া "&amp;"নিয়ধ করেছেন তারা নগদ ইসলামি এেমএফএস অ্যাকাউন্টের হজ টুরস আন্ড ট্রাবেলসের পেমেন্টা করে ফেলতে পারবেন আর আপনি শুনছেন নাইনটি পয়েন্ট ফোর")</f>
        <v>তেব্বিশ টাকা ক্যাশ ব্যাক দেশী নগদে বেশি লাভ নগুদ ঈদ শোপিংয়ত ওয়েলকাম ব্যাক্টি ঢাকায় ফেমনে ইডি পয়েন্ট ফর এবং যা বলছিলাম নগদের আরও কিছু কথা আসে তা হলো নগদ ইসলামিক এমএফএস অ্যাকাউন্ট থেকে হজ টোরস অ্ান্ড ট্রাবেল স পেমেন্ট করা খুবই সহজ তাই আপনারা যারা হজে যাওয়া নিয়ধ করেছেন তারা নগদ ইসলামি এেমএফএস অ্যাকাউন্টের হজ টুরস আন্ড ট্রাবেলসের পেমেন্টা করে ফেলতে পারবেন আর আপনি শুনছেন নাইনটি পয়েন্ট ফোর</v>
      </c>
      <c r="D39" s="2" t="str">
        <f>IFERROR(__xludf.DUMMYFUNCTION("""COMPUTED_VALUE"""),"Yes")</f>
        <v>Yes</v>
      </c>
      <c r="E39" s="2" t="str">
        <f>IFERROR(__xludf.DUMMYFUNCTION("""COMPUTED_VALUE"""),"Yes")</f>
        <v>Yes</v>
      </c>
      <c r="F39" s="2" t="str">
        <f>IFERROR(__xludf.DUMMYFUNCTION("""COMPUTED_VALUE"""),"Yes")</f>
        <v>Yes</v>
      </c>
      <c r="G39" s="2">
        <f>IFERROR(__xludf.DUMMYFUNCTION("""COMPUTED_VALUE"""),0.5)</f>
        <v>0.5</v>
      </c>
      <c r="H39" s="2">
        <f>IFERROR(__xludf.DUMMYFUNCTION("""COMPUTED_VALUE"""),0.5)</f>
        <v>0.5</v>
      </c>
      <c r="I39" s="2">
        <f>IFERROR(__xludf.DUMMYFUNCTION("""COMPUTED_VALUE"""),0.5)</f>
        <v>0.5</v>
      </c>
      <c r="J39" s="2">
        <f>IFERROR(__xludf.DUMMYFUNCTION("""COMPUTED_VALUE"""),0.0)</f>
        <v>0</v>
      </c>
      <c r="K39" s="2" t="str">
        <f>IFERROR(__xludf.DUMMYFUNCTION("""COMPUTED_VALUE"""),"3 – Mixed language or inconsistent quality")</f>
        <v>3 – Mixed language or inconsistent quality</v>
      </c>
      <c r="L39" s="2" t="str">
        <f>IFERROR(__xludf.DUMMYFUNCTION("""COMPUTED_VALUE"""),"Yes")</f>
        <v>Yes</v>
      </c>
    </row>
    <row r="40">
      <c r="A40" s="2" t="str">
        <f>IFERROR(__xludf.DUMMYFUNCTION("""COMPUTED_VALUE"""),"collect/miscellaneous/Dhaka FM/DFM - AUDIO CLIP (03-01-2023)/7773de63-5c42-4a11-8990-7c9aa5101d59.flac")</f>
        <v>collect/miscellaneous/Dhaka FM/DFM - AUDIO CLIP (03-01-2023)/7773de63-5c42-4a11-8990-7c9aa5101d59.flac</v>
      </c>
      <c r="B40" s="2">
        <f>IFERROR(__xludf.DUMMYFUNCTION("""COMPUTED_VALUE"""),30.0)</f>
        <v>30</v>
      </c>
      <c r="C40" s="2" t="str">
        <f>IFERROR(__xludf.DUMMYFUNCTION("""COMPUTED_VALUE"""),"বাসার নিচে মুদির দোকান তার জিজ্ঞেস করল কী হয়েছে আপনার ভেবে দেখলাম আজকে আমার মন ভালো নেই সিরিয়াস লিমান আশকে আমার মন ভালো নেই কি যে করি ধ্যাঁত সত্যিই বলছি গেজ জানেন আজকে আমার মন ভালো নেই কারণ বন্ধুবান্ধবদের ট্রিট দেওয়ার কথা ছিল কিন্তু সেই পরিমাণ টাকা আমার ক"&amp;"াছে মুহরতে নাই তো সুনেই তোকানদার ভাই সুন্দর কেকের প্যাকেটটা দিয়ে বলল খান প্যাকেট খুলে কেক মুখে দিতেই ম্যাজিক ওয়াটা ফান্টাস্টিককেক উনটা জাস্ট ভালো বে")</f>
        <v>বাসার নিচে মুদির দোকান তার জিজ্ঞেস করল কী হয়েছে আপনার ভেবে দেখলাম আজকে আমার মন ভালো নেই সিরিয়াস লিমান আশকে আমার মন ভালো নেই কি যে করি ধ্যাঁত সত্যিই বলছি গেজ জানেন আজকে আমার মন ভালো নেই কারণ বন্ধুবান্ধবদের ট্রিট দেওয়ার কথা ছিল কিন্তু সেই পরিমাণ টাকা আমার কাছে মুহরতে নাই তো সুনেই তোকানদার ভাই সুন্দর কেকের প্যাকেটটা দিয়ে বলল খান প্যাকেট খুলে কেক মুখে দিতেই ম্যাজিক ওয়াটা ফান্টাস্টিককেক উনটা জাস্ট ভালো বে</v>
      </c>
      <c r="D40" s="2" t="str">
        <f>IFERROR(__xludf.DUMMYFUNCTION("""COMPUTED_VALUE"""),"Yes")</f>
        <v>Yes</v>
      </c>
      <c r="E40" s="2" t="str">
        <f>IFERROR(__xludf.DUMMYFUNCTION("""COMPUTED_VALUE"""),"No")</f>
        <v>No</v>
      </c>
      <c r="F40" s="2" t="str">
        <f>IFERROR(__xludf.DUMMYFUNCTION("""COMPUTED_VALUE"""),"Yes")</f>
        <v>Yes</v>
      </c>
      <c r="G40" s="2">
        <f>IFERROR(__xludf.DUMMYFUNCTION("""COMPUTED_VALUE"""),0.5)</f>
        <v>0.5</v>
      </c>
      <c r="H40" s="2">
        <f>IFERROR(__xludf.DUMMYFUNCTION("""COMPUTED_VALUE"""),0.5)</f>
        <v>0.5</v>
      </c>
      <c r="I40" s="2">
        <f>IFERROR(__xludf.DUMMYFUNCTION("""COMPUTED_VALUE"""),0.5)</f>
        <v>0.5</v>
      </c>
      <c r="J40" s="2">
        <f>IFERROR(__xludf.DUMMYFUNCTION("""COMPUTED_VALUE"""),0.0)</f>
        <v>0</v>
      </c>
      <c r="K40" s="2" t="str">
        <f>IFERROR(__xludf.DUMMYFUNCTION("""COMPUTED_VALUE"""),"3 – Mixed language or inconsistent quality")</f>
        <v>3 – Mixed language or inconsistent quality</v>
      </c>
      <c r="L40" s="2" t="str">
        <f>IFERROR(__xludf.DUMMYFUNCTION("""COMPUTED_VALUE"""),"No")</f>
        <v>No</v>
      </c>
    </row>
    <row r="41">
      <c r="A41" s="2" t="str">
        <f>IFERROR(__xludf.DUMMYFUNCTION("""COMPUTED_VALUE"""),"collect/miscellaneous/Dhaka FM/DFM - AUDIO CLIP (03-01-2023)/8479ecdc-d7fa-43a9-8aa5-d2d2b1e1266f.flac")</f>
        <v>collect/miscellaneous/Dhaka FM/DFM - AUDIO CLIP (03-01-2023)/8479ecdc-d7fa-43a9-8aa5-d2d2b1e1266f.flac</v>
      </c>
      <c r="B41" s="2">
        <f>IFERROR(__xludf.DUMMYFUNCTION("""COMPUTED_VALUE"""),30.0)</f>
        <v>30</v>
      </c>
      <c r="C41" s="2" t="str">
        <f>IFERROR(__xludf.DUMMYFUNCTION("""COMPUTED_VALUE"""),"রপরে মানি ফ্লান্ড ইত্যাদিটাইপের যে গাছগুলো আছে না কখনো কখনো দেখবেন যে খুব খুতিয়ে দেখলে দেখা যায় ওর মধ্য একটু তিলে মানে চিটচিটে কেমন জনে তিলের মতো পড়ছে এবং সব সব দাগের মতো হয়ে যাচ্ছে এরকম সিচুয়েশন আপনি কিন্তু একটা কাজ করতে পারেন মনটা খারাপ না করে দোকান থেক"&amp;"ে বা বাজার থেকে আই কার্বনেট কিনে এনে অল্প অল্প করে গাছের গোড়ার আশেপাশে ছিটিয়ে দিন দেখবেন যে ধীরে ধীরে গা ছেরে এই রোগটা চলে যাচ্ছে এবং গাছটা ফ্রেশ হচ্ছে দেখতেও সুন্দর লাগছে ঠিকেছে")</f>
        <v>রপরে মানি ফ্লান্ড ইত্যাদিটাইপের যে গাছগুলো আছে না কখনো কখনো দেখবেন যে খুব খুতিয়ে দেখলে দেখা যায় ওর মধ্য একটু তিলে মানে চিটচিটে কেমন জনে তিলের মতো পড়ছে এবং সব সব দাগের মতো হয়ে যাচ্ছে এরকম সিচুয়েশন আপনি কিন্তু একটা কাজ করতে পারেন মনটা খারাপ না করে দোকান থেকে বা বাজার থেকে আই কার্বনেট কিনে এনে অল্প অল্প করে গাছের গোড়ার আশেপাশে ছিটিয়ে দিন দেখবেন যে ধীরে ধীরে গা ছেরে এই রোগটা চলে যাচ্ছে এবং গাছটা ফ্রেশ হচ্ছে দেখতেও সুন্দর লাগছে ঠিকেছে</v>
      </c>
      <c r="D41" s="2" t="str">
        <f>IFERROR(__xludf.DUMMYFUNCTION("""COMPUTED_VALUE"""),"Yes")</f>
        <v>Yes</v>
      </c>
      <c r="E41" s="2" t="str">
        <f>IFERROR(__xludf.DUMMYFUNCTION("""COMPUTED_VALUE"""),"No")</f>
        <v>No</v>
      </c>
      <c r="F41" s="2" t="str">
        <f>IFERROR(__xludf.DUMMYFUNCTION("""COMPUTED_VALUE"""),"Yes")</f>
        <v>Yes</v>
      </c>
      <c r="G41" s="2">
        <f>IFERROR(__xludf.DUMMYFUNCTION("""COMPUTED_VALUE"""),0.5)</f>
        <v>0.5</v>
      </c>
      <c r="H41" s="2">
        <f>IFERROR(__xludf.DUMMYFUNCTION("""COMPUTED_VALUE"""),0.5)</f>
        <v>0.5</v>
      </c>
      <c r="I41" s="2">
        <f>IFERROR(__xludf.DUMMYFUNCTION("""COMPUTED_VALUE"""),1.0)</f>
        <v>1</v>
      </c>
      <c r="J41" s="2">
        <f>IFERROR(__xludf.DUMMYFUNCTION("""COMPUTED_VALUE"""),0.0)</f>
        <v>0</v>
      </c>
      <c r="K41" s="2" t="str">
        <f>IFERROR(__xludf.DUMMYFUNCTION("""COMPUTED_VALUE"""),"4– Usable, minor flaws Minor background noise.")</f>
        <v>4– Usable, minor flaws Minor background noise.</v>
      </c>
      <c r="L41" s="2" t="str">
        <f>IFERROR(__xludf.DUMMYFUNCTION("""COMPUTED_VALUE"""),"No")</f>
        <v>No</v>
      </c>
    </row>
    <row r="42">
      <c r="A42" s="2" t="str">
        <f>IFERROR(__xludf.DUMMYFUNCTION("""COMPUTED_VALUE"""),"collect/miscellaneous/Dhaka FM/DFM - AUDIO CLIP (03-01-2023)/9082dff8-1739-4bf5-be5d-c915a5e58eb5.flac")</f>
        <v>collect/miscellaneous/Dhaka FM/DFM - AUDIO CLIP (03-01-2023)/9082dff8-1739-4bf5-be5d-c915a5e58eb5.flac</v>
      </c>
      <c r="B42" s="2">
        <f>IFERROR(__xludf.DUMMYFUNCTION("""COMPUTED_VALUE"""),30.0)</f>
        <v>30</v>
      </c>
      <c r="C42" s="2" t="str">
        <f>IFERROR(__xludf.DUMMYFUNCTION("""COMPUTED_VALUE"""),"লাইফ হ্যাকস ্াক্স হেইফ রয়েন্স ওয়ালকাম বা একটু ঢাকা ফামনাইনিফ হন ফোর অ্যাক নেশন এক স্টেশনে চলছে লাইফ অ্াক্স রিতার সাথে এাখন্ড বলেছিলাম যে ফিরে এসে আমি আপনাকে জানিয়ে দিব কী করে আমাকে ক্ম্যান্ট এসএমএস এবং ওয়াডসেপ করবেন ওয়ানস এক্সট্রোসিক জেরা হচ্ছে এসএমএসের ন"&amp;"াম্বার এবং ফেইসবুক ডটকম স্ল্যাশায় লাভ ঢাকা ফান হচ্ছে ফেইসবুকের ঠিকানা অ্যান্ড জিরো ওয়ান এট ফর ওয়ান নাইনজেরোফর নাইনজেরোফর হচ্ছে ওয়াটস্াপের নাম্বারস ওর ডোন গেটলেড ক্িপটেক্স্টিংন")</f>
        <v>লাইফ হ্যাকস ্াক্স হেইফ রয়েন্স ওয়ালকাম বা একটু ঢাকা ফামনাইনিফ হন ফোর অ্যাক নেশন এক স্টেশনে চলছে লাইফ অ্াক্স রিতার সাথে এাখন্ড বলেছিলাম যে ফিরে এসে আমি আপনাকে জানিয়ে দিব কী করে আমাকে ক্ম্যান্ট এসএমএস এবং ওয়াডসেপ করবেন ওয়ানস এক্সট্রোসিক জেরা হচ্ছে এসএমএসের নাম্বার এবং ফেইসবুক ডটকম স্ল্যাশায় লাভ ঢাকা ফান হচ্ছে ফেইসবুকের ঠিকানা অ্যান্ড জিরো ওয়ান এট ফর ওয়ান নাইনজেরোফর নাইনজেরোফর হচ্ছে ওয়াটস্াপের নাম্বারস ওর ডোন গেটলেড ক্িপটেক্স্টিংন</v>
      </c>
      <c r="D42" s="2" t="str">
        <f>IFERROR(__xludf.DUMMYFUNCTION("""COMPUTED_VALUE"""),"Yes")</f>
        <v>Yes</v>
      </c>
      <c r="E42" s="2" t="str">
        <f>IFERROR(__xludf.DUMMYFUNCTION("""COMPUTED_VALUE"""),"No")</f>
        <v>No</v>
      </c>
      <c r="F42" s="2" t="str">
        <f>IFERROR(__xludf.DUMMYFUNCTION("""COMPUTED_VALUE"""),"Yes")</f>
        <v>Yes</v>
      </c>
      <c r="G42" s="2">
        <f>IFERROR(__xludf.DUMMYFUNCTION("""COMPUTED_VALUE"""),0.5)</f>
        <v>0.5</v>
      </c>
      <c r="H42" s="2">
        <f>IFERROR(__xludf.DUMMYFUNCTION("""COMPUTED_VALUE"""),0.5)</f>
        <v>0.5</v>
      </c>
      <c r="I42" s="2">
        <f>IFERROR(__xludf.DUMMYFUNCTION("""COMPUTED_VALUE"""),0.5)</f>
        <v>0.5</v>
      </c>
      <c r="J42" s="2">
        <f>IFERROR(__xludf.DUMMYFUNCTION("""COMPUTED_VALUE"""),0.0)</f>
        <v>0</v>
      </c>
      <c r="K42" s="2" t="str">
        <f>IFERROR(__xludf.DUMMYFUNCTION("""COMPUTED_VALUE"""),"3 – Mixed language or inconsistent quality")</f>
        <v>3 – Mixed language or inconsistent quality</v>
      </c>
      <c r="L42" s="2" t="str">
        <f>IFERROR(__xludf.DUMMYFUNCTION("""COMPUTED_VALUE"""),"Yes")</f>
        <v>Yes</v>
      </c>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IFERROR(__xludf.DUMMYFUNCTION("IMPORTRANGE(""https://docs.google.com/spreadsheets/d/1PtILyyZqZN6xk8xuQzHIvifzPUCl9KOtv8lTbbnVLPo/edit?gid=1682353242#gid=1682353242"", ""Data!A:L"")"),"Filename")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IFERROR(__xludf.DUMMYFUNCTION("""COMPUTED_VALUE"""),"\collect\read\YouTube\TORONGO\_2X8LOMTO_Y\00843346-fb48-4eb4-b674-3d47bd3aaac4.flac")</f>
        <v>\collect\read\YouTube\TORONGO\_2X8LOMTO_Y\00843346-fb48-4eb4-b674-3d47bd3aaac4.flac</v>
      </c>
      <c r="B2" s="2">
        <f>IFERROR(__xludf.DUMMYFUNCTION("""COMPUTED_VALUE"""),30.0)</f>
        <v>30</v>
      </c>
      <c r="C2" s="2" t="str">
        <f>IFERROR(__xludf.DUMMYFUNCTION("""COMPUTED_VALUE"""),"আলাসালামালাইকু আলাইকুম সালাম এইতামিন এ আরএপিলট টার মধ্যে োনো পিঠাই গরনা আছে কিনা যদি আলোকপাট করেন িক চক্র একটা প্রশ্ন পাঠিয়েছেন ফেসবুক পেজে দেখতে পাচ্ছিলেখা আছে আমার সামনে ভিটামিন এ প্লাস খাওয়াতে চাই বাচ্চাকে তাহলে ভিটামিন এ প্লাস খাবো না ভিটামিন এ ক্যাপশ"&amp;"ুল খাব ডাক্তার রিজনুল আসার বিপুল শিশুরোগ বিষ আমাদের সঙ্গে আছে আমরা যখন আমাদের ছয় মাস থেকে পাঁচ বছর বয়স বয়স")</f>
        <v>আলাসালামালাইকু আলাইকুম সালাম এইতামিন এ আরএপিলট টার মধ্যে োনো পিঠাই গরনা আছে কিনা যদি আলোকপাট করেন িক চক্র একটা প্রশ্ন পাঠিয়েছেন ফেসবুক পেজে দেখতে পাচ্ছিলেখা আছে আমার সামনে ভিটামিন এ প্লাস খাওয়াতে চাই বাচ্চাকে তাহলে ভিটামিন এ প্লাস খাবো না ভিটামিন এ ক্যাপশুল খাব ডাক্তার রিজনুল আসার বিপুল শিশুরোগ বিষ আমাদের সঙ্গে আছে আমরা যখন আমাদের ছয় মাস থেকে পাঁচ বছর বয়স বয়স</v>
      </c>
      <c r="D2" s="2" t="str">
        <f>IFERROR(__xludf.DUMMYFUNCTION("""COMPUTED_VALUE"""),"Yes")</f>
        <v>Yes</v>
      </c>
      <c r="E2" s="2" t="str">
        <f>IFERROR(__xludf.DUMMYFUNCTION("""COMPUTED_VALUE"""),"Yes")</f>
        <v>Yes</v>
      </c>
      <c r="F2" s="2" t="str">
        <f>IFERROR(__xludf.DUMMYFUNCTION("""COMPUTED_VALUE"""),"Yes")</f>
        <v>Yes</v>
      </c>
      <c r="G2" s="2">
        <f>IFERROR(__xludf.DUMMYFUNCTION("""COMPUTED_VALUE"""),0.5)</f>
        <v>0.5</v>
      </c>
      <c r="H2" s="2">
        <f>IFERROR(__xludf.DUMMYFUNCTION("""COMPUTED_VALUE"""),0.5)</f>
        <v>0.5</v>
      </c>
      <c r="I2" s="2">
        <f>IFERROR(__xludf.DUMMYFUNCTION("""COMPUTED_VALUE"""),0.5)</f>
        <v>0.5</v>
      </c>
      <c r="J2" s="2">
        <f>IFERROR(__xludf.DUMMYFUNCTION("""COMPUTED_VALUE"""),0.5)</f>
        <v>0.5</v>
      </c>
      <c r="K2" s="2" t="str">
        <f>IFERROR(__xludf.DUMMYFUNCTION("""COMPUTED_VALUE"""),"4– Usable, minor flaws Minor background noise.")</f>
        <v>4– Usable, minor flaws Minor background noise.</v>
      </c>
      <c r="L2" s="2" t="str">
        <f>IFERROR(__xludf.DUMMYFUNCTION("""COMPUTED_VALUE"""),"No")</f>
        <v>No</v>
      </c>
    </row>
    <row r="3">
      <c r="A3" s="2" t="str">
        <f>IFERROR(__xludf.DUMMYFUNCTION("""COMPUTED_VALUE"""),"\collect\read\YouTube\TORONGO\_2X8LOMTO_Y\02545cee-3b3e-4d8e-aa0b-a8e37f1d6d4a.flac")</f>
        <v>\collect\read\YouTube\TORONGO\_2X8LOMTO_Y\02545cee-3b3e-4d8e-aa0b-a8e37f1d6d4a.flac</v>
      </c>
      <c r="B3" s="2">
        <f>IFERROR(__xludf.DUMMYFUNCTION("""COMPUTED_VALUE"""),30.0)</f>
        <v>30</v>
      </c>
      <c r="C3" s="2" t="str">
        <f>IFERROR(__xludf.DUMMYFUNCTION("""COMPUTED_VALUE"""),"পনাকে কেদেছেন শুভেচ্ছা শুনতে পাচ্ছি আমারানোদে সিটা খেলা ক্ষবাপতি কন্তান্দর দিতলার বাঙজার আলদানিনেনে জি প্রশ্ন লদা হছে আমাদেরতেখন বছর সর্বরমে আম মিছু জামাার চাকন গ্রাম অঞচলে আম িতু অঅবাধ নাই যেটা আপটা কে মারাআকিনতুনি জা কাদেরকে পায়ন ও আমগুলো না দুয়েই জি না"&amp;" দুইয়ে শিয়ে ওইভাবে দেখাযানা শুজিয়ে খাওয়ায় তাদের পদাক্ষ কমে")</f>
        <v>পনাকে কেদেছেন শুভেচ্ছা শুনতে পাচ্ছি আমারানোদে সিটা খেলা ক্ষবাপতি কন্তান্দর দিতলার বাঙজার আলদানিনেনে জি প্রশ্ন লদা হছে আমাদেরতেখন বছর সর্বরমে আম মিছু জামাার চাকন গ্রাম অঞচলে আম িতু অঅবাধ নাই যেটা আপটা কে মারাআকিনতুনি জা কাদেরকে পায়ন ও আমগুলো না দুয়েই জি না দুইয়ে শিয়ে ওইভাবে দেখাযানা শুজিয়ে খাওয়ায় তাদের পদাক্ষ কমে</v>
      </c>
      <c r="D3" s="2" t="str">
        <f>IFERROR(__xludf.DUMMYFUNCTION("""COMPUTED_VALUE"""),"Yes")</f>
        <v>Yes</v>
      </c>
      <c r="E3" s="2" t="str">
        <f>IFERROR(__xludf.DUMMYFUNCTION("""COMPUTED_VALUE"""),"Yes")</f>
        <v>Yes</v>
      </c>
      <c r="F3" s="2" t="str">
        <f>IFERROR(__xludf.DUMMYFUNCTION("""COMPUTED_VALUE"""),"Yes")</f>
        <v>Yes</v>
      </c>
      <c r="G3" s="2">
        <f>IFERROR(__xludf.DUMMYFUNCTION("""COMPUTED_VALUE"""),0.0)</f>
        <v>0</v>
      </c>
      <c r="H3" s="2">
        <f>IFERROR(__xludf.DUMMYFUNCTION("""COMPUTED_VALUE"""),0.0)</f>
        <v>0</v>
      </c>
      <c r="I3" s="2">
        <f>IFERROR(__xludf.DUMMYFUNCTION("""COMPUTED_VALUE"""),0.0)</f>
        <v>0</v>
      </c>
      <c r="J3" s="2">
        <f>IFERROR(__xludf.DUMMYFUNCTION("""COMPUTED_VALUE"""),0.0)</f>
        <v>0</v>
      </c>
      <c r="K3" s="2" t="str">
        <f>IFERROR(__xludf.DUMMYFUNCTION("""COMPUTED_VALUE"""),"2 - Poor quality Noisy, unclear,")</f>
        <v>2 - Poor quality Noisy, unclear,</v>
      </c>
      <c r="L3" s="2" t="str">
        <f>IFERROR(__xludf.DUMMYFUNCTION("""COMPUTED_VALUE"""),"No")</f>
        <v>No</v>
      </c>
    </row>
    <row r="4">
      <c r="A4" s="2" t="str">
        <f>IFERROR(__xludf.DUMMYFUNCTION("""COMPUTED_VALUE"""),"\collect\read\YouTube\TORONGO\_2X8LOMTO_Y\042d5cb6-6c46-4acd-991e-39337d781ccc.flac")</f>
        <v>\collect\read\YouTube\TORONGO\_2X8LOMTO_Y\042d5cb6-6c46-4acd-991e-39337d781ccc.flac</v>
      </c>
      <c r="B4" s="2">
        <f>IFERROR(__xludf.DUMMYFUNCTION("""COMPUTED_VALUE"""),30.0)</f>
        <v>30</v>
      </c>
      <c r="C4" s="2" t="str">
        <f>IFERROR(__xludf.DUMMYFUNCTION("""COMPUTED_VALUE"""),"শরের বন্ধু মেহেদী হাসান খুব ভালো একটা প্রশ্ন করলেন শিশুর বিশবক আমাদের সাথে আছেন শুধু কাঁঠাল কেন যেকোনো ফল যদি বেশি পরিমাণ লিচু যদি বেশি খায় পেট ফেঁপে যাবে পেটে ব্যথা হতে পারে তাহল আপনি প্রশ্ন করছেন যে কাঁঠাল খেয়ে যদি বদ হজম হয় তাহলে কি ধরনের ওষুধ খেয়ে আমর"&amp;"া এতে পরিত্রাণ পাব বা এটা কোনো রোগ কি না ডাক্তার রেজয়াল আহসেল বিপুল ধন্যবাদ আসলে প্রথম এই যে কাঁঠালের ব্যাপারটা কাঠালটা অনেকটা মোটা ফাইবার এটা অনেকটা ভারির")</f>
        <v>শরের বন্ধু মেহেদী হাসান খুব ভালো একটা প্রশ্ন করলেন শিশুর বিশবক আমাদের সাথে আছেন শুধু কাঁঠাল কেন যেকোনো ফল যদি বেশি পরিমাণ লিচু যদি বেশি খায় পেট ফেঁপে যাবে পেটে ব্যথা হতে পারে তাহল আপনি প্রশ্ন করছেন যে কাঁঠাল খেয়ে যদি বদ হজম হয় তাহলে কি ধরনের ওষুধ খেয়ে আমরা এতে পরিত্রাণ পাব বা এটা কোনো রোগ কি না ডাক্তার রেজয়াল আহসেল বিপুল ধন্যবাদ আসলে প্রথম এই যে কাঁঠালের ব্যাপারটা কাঠালটা অনেকটা মোটা ফাইবার এটা অনেকটা ভারির</v>
      </c>
      <c r="D4" s="2" t="str">
        <f>IFERROR(__xludf.DUMMYFUNCTION("""COMPUTED_VALUE"""),"Yes")</f>
        <v>Yes</v>
      </c>
      <c r="E4" s="2" t="str">
        <f>IFERROR(__xludf.DUMMYFUNCTION("""COMPUTED_VALUE"""),"Yes")</f>
        <v>Yes</v>
      </c>
      <c r="F4" s="2" t="str">
        <f>IFERROR(__xludf.DUMMYFUNCTION("""COMPUTED_VALUE"""),"Yes")</f>
        <v>Yes</v>
      </c>
      <c r="G4" s="2">
        <f>IFERROR(__xludf.DUMMYFUNCTION("""COMPUTED_VALUE"""),0.5)</f>
        <v>0.5</v>
      </c>
      <c r="H4" s="2">
        <f>IFERROR(__xludf.DUMMYFUNCTION("""COMPUTED_VALUE"""),0.5)</f>
        <v>0.5</v>
      </c>
      <c r="I4" s="2">
        <f>IFERROR(__xludf.DUMMYFUNCTION("""COMPUTED_VALUE"""),0.5)</f>
        <v>0.5</v>
      </c>
      <c r="J4" s="2">
        <f>IFERROR(__xludf.DUMMYFUNCTION("""COMPUTED_VALUE"""),0.5)</f>
        <v>0.5</v>
      </c>
      <c r="K4" s="2" t="str">
        <f>IFERROR(__xludf.DUMMYFUNCTION("""COMPUTED_VALUE"""),"5 – High-quality, Clean Bangla speech")</f>
        <v>5 – High-quality, Clean Bangla speech</v>
      </c>
      <c r="L4" s="2" t="str">
        <f>IFERROR(__xludf.DUMMYFUNCTION("""COMPUTED_VALUE"""),"No")</f>
        <v>No</v>
      </c>
    </row>
    <row r="5">
      <c r="A5" s="2" t="str">
        <f>IFERROR(__xludf.DUMMYFUNCTION("""COMPUTED_VALUE"""),"\collect\read\YouTube\TORONGO\_2X8LOMTO_Y\0511ca48-79d1-4aff-92e1-d9bf3038af3d.flac")</f>
        <v>\collect\read\YouTube\TORONGO\_2X8LOMTO_Y\0511ca48-79d1-4aff-92e1-d9bf3038af3d.flac</v>
      </c>
      <c r="B5" s="2">
        <f>IFERROR(__xludf.DUMMYFUNCTION("""COMPUTED_VALUE"""),30.0)</f>
        <v>30</v>
      </c>
      <c r="C5" s="2" t="str">
        <f>IFERROR(__xludf.DUMMYFUNCTION("""COMPUTED_VALUE"""),"সমৃদ্ধ আর যে ক্যাপসুলযে খাচ্ছেন সেটা বানিয়েছে দুবছর আগে বা এক বছর আগে বাছমাস আগে আপনি সেটা খাওয়ার জন্য কেন ব্যস্ত হবেন তবে কিছু কিছু ভিটামিন আছে শহীদীয়ে ইনজেকশন দিয়ে ঘটতে হয় যখন যে ভিটামিনের প্রয়োজনীয়তা খুব বেশি হয় সেটার অভাব যখন তৈরি হয় কোনো রোগের কারণে "&amp;"কোনো রোগের কারণে আর সেটা দূর করবার জন্য সে ভিটামিন বিশেষ অনুপুষ্টি কিছু কিছু ব্যবস্থা রয়েছে আমরা স্যালেন দিয়েও অনুপস্টি দিতে হয় কিছু রোগীর")</f>
        <v>সমৃদ্ধ আর যে ক্যাপসুলযে খাচ্ছেন সেটা বানিয়েছে দুবছর আগে বা এক বছর আগে বাছমাস আগে আপনি সেটা খাওয়ার জন্য কেন ব্যস্ত হবেন তবে কিছু কিছু ভিটামিন আছে শহীদীয়ে ইনজেকশন দিয়ে ঘটতে হয় যখন যে ভিটামিনের প্রয়োজনীয়তা খুব বেশি হয় সেটার অভাব যখন তৈরি হয় কোনো রোগের কারণে কোনো রোগের কারণে আর সেটা দূর করবার জন্য সে ভিটামিন বিশেষ অনুপুষ্টি কিছু কিছু ব্যবস্থা রয়েছে আমরা স্যালেন দিয়েও অনুপস্টি দিতে হয় কিছু রোগীর</v>
      </c>
      <c r="D5" s="2" t="str">
        <f>IFERROR(__xludf.DUMMYFUNCTION("""COMPUTED_VALUE"""),"Yes")</f>
        <v>Yes</v>
      </c>
      <c r="E5" s="2" t="str">
        <f>IFERROR(__xludf.DUMMYFUNCTION("""COMPUTED_VALUE"""),"No")</f>
        <v>No</v>
      </c>
      <c r="F5" s="2" t="str">
        <f>IFERROR(__xludf.DUMMYFUNCTION("""COMPUTED_VALUE"""),"Yes")</f>
        <v>Yes</v>
      </c>
      <c r="G5" s="2">
        <f>IFERROR(__xludf.DUMMYFUNCTION("""COMPUTED_VALUE"""),0.5)</f>
        <v>0.5</v>
      </c>
      <c r="H5" s="2">
        <f>IFERROR(__xludf.DUMMYFUNCTION("""COMPUTED_VALUE"""),0.5)</f>
        <v>0.5</v>
      </c>
      <c r="I5" s="2">
        <f>IFERROR(__xludf.DUMMYFUNCTION("""COMPUTED_VALUE"""),1.0)</f>
        <v>1</v>
      </c>
      <c r="J5" s="2">
        <f>IFERROR(__xludf.DUMMYFUNCTION("""COMPUTED_VALUE"""),1.0)</f>
        <v>1</v>
      </c>
      <c r="K5" s="2" t="str">
        <f>IFERROR(__xludf.DUMMYFUNCTION("""COMPUTED_VALUE"""),"5 – High-quality, Clean Bangla speech")</f>
        <v>5 – High-quality, Clean Bangla speech</v>
      </c>
      <c r="L5" s="2" t="str">
        <f>IFERROR(__xludf.DUMMYFUNCTION("""COMPUTED_VALUE"""),"No")</f>
        <v>No</v>
      </c>
    </row>
    <row r="6">
      <c r="A6" s="2" t="str">
        <f>IFERROR(__xludf.DUMMYFUNCTION("""COMPUTED_VALUE"""),"\collect\read\YouTube\TORONGO\_2X8LOMTO_Y\05805271-fcae-4203-af50-606ca2f5f9ab.flac")</f>
        <v>\collect\read\YouTube\TORONGO\_2X8LOMTO_Y\05805271-fcae-4203-af50-606ca2f5f9ab.flac</v>
      </c>
      <c r="B6" s="2">
        <f>IFERROR(__xludf.DUMMYFUNCTION("""COMPUTED_VALUE"""),30.0)</f>
        <v>30</v>
      </c>
      <c r="C6" s="2" t="str">
        <f>IFERROR(__xludf.DUMMYFUNCTION("""COMPUTED_VALUE"""),"আমরা জানিয়ে দি আজকের হে কুস্টি আর কুইস্টি জানানো হলো তাহলে তুমি সাইত্রিশের বিজয়ীদের নাম ঘোষণা করছি ঝিনাইদহ থেকে সুরাইয়া মুনিরা ঝিনাইদহ থেকে সুরাইয়া মনিরা রাজশাহী থেকে ফয়সাল আহমেদ রাজশাহী থেকে ফয়সল আহমেদ বরিশাল থেকে রায়হান পারভেজ বরিশাল থেকে রায়হান পারভেজ "&amp;"সবাইকে শুভেচ্ছা বৃশেষ তাহলে আজ এ পর্যন্তই আজকে পারিবারিক কারণ ডাকটা মুরাদ আমাদের")</f>
        <v>আমরা জানিয়ে দি আজকের হে কুস্টি আর কুইস্টি জানানো হলো তাহলে তুমি সাইত্রিশের বিজয়ীদের নাম ঘোষণা করছি ঝিনাইদহ থেকে সুরাইয়া মুনিরা ঝিনাইদহ থেকে সুরাইয়া মনিরা রাজশাহী থেকে ফয়সাল আহমেদ রাজশাহী থেকে ফয়সল আহমেদ বরিশাল থেকে রায়হান পারভেজ বরিশাল থেকে রায়হান পারভেজ সবাইকে শুভেচ্ছা বৃশেষ তাহলে আজ এ পর্যন্তই আজকে পারিবারিক কারণ ডাকটা মুরাদ আমাদের</v>
      </c>
      <c r="D6" s="2" t="str">
        <f>IFERROR(__xludf.DUMMYFUNCTION("""COMPUTED_VALUE"""),"Yes")</f>
        <v>Yes</v>
      </c>
      <c r="E6" s="2" t="str">
        <f>IFERROR(__xludf.DUMMYFUNCTION("""COMPUTED_VALUE"""),"Yes")</f>
        <v>Yes</v>
      </c>
      <c r="F6" s="2" t="str">
        <f>IFERROR(__xludf.DUMMYFUNCTION("""COMPUTED_VALUE"""),"Yes")</f>
        <v>Yes</v>
      </c>
      <c r="G6" s="2">
        <f>IFERROR(__xludf.DUMMYFUNCTION("""COMPUTED_VALUE"""),0.0)</f>
        <v>0</v>
      </c>
      <c r="H6" s="2">
        <f>IFERROR(__xludf.DUMMYFUNCTION("""COMPUTED_VALUE"""),0.0)</f>
        <v>0</v>
      </c>
      <c r="I6" s="2">
        <f>IFERROR(__xludf.DUMMYFUNCTION("""COMPUTED_VALUE"""),0.5)</f>
        <v>0.5</v>
      </c>
      <c r="J6" s="2">
        <f>IFERROR(__xludf.DUMMYFUNCTION("""COMPUTED_VALUE"""),0.5)</f>
        <v>0.5</v>
      </c>
      <c r="K6" s="2" t="str">
        <f>IFERROR(__xludf.DUMMYFUNCTION("""COMPUTED_VALUE"""),"5 – High-quality, Clean Bangla speech")</f>
        <v>5 – High-quality, Clean Bangla speech</v>
      </c>
      <c r="L6" s="2" t="str">
        <f>IFERROR(__xludf.DUMMYFUNCTION("""COMPUTED_VALUE"""),"No")</f>
        <v>No</v>
      </c>
    </row>
    <row r="7">
      <c r="A7" s="2" t="str">
        <f>IFERROR(__xludf.DUMMYFUNCTION("""COMPUTED_VALUE"""),"\collect\read\YouTube\TORONGO\_2X8LOMTO_Y\07f5cc9a-2d7a-49ce-a66f-4756ee6f2b37.flac")</f>
        <v>\collect\read\YouTube\TORONGO\_2X8LOMTO_Y\07f5cc9a-2d7a-49ce-a66f-4756ee6f2b37.flac</v>
      </c>
      <c r="B7" s="2">
        <f>IFERROR(__xludf.DUMMYFUNCTION("""COMPUTED_VALUE"""),30.0)</f>
        <v>30</v>
      </c>
      <c r="C7" s="2" t="str">
        <f>IFERROR(__xludf.DUMMYFUNCTION("""COMPUTED_VALUE"""),"স ক্যাম্পেন চলাকালে যদি খাওয়াতে না পারি দেখুন আগে একটি দিন নির্ধারণ করা ছিল কোনো কারণে একটি দিন আসতে পারেনি এখন পাঁচই জুন থেকে উনিশে জুন একনাগাড়ে কতদিন দেখেন আজকে পেলেন না আগামীকাল তুমি চি পাবেন আগামীকাল ব্যস্ত তারপর দুনতে পারবেন সুযোগ নিশ্চয় হবে সুতরাং আ"&amp;"পনাকে এ সুযোগটা নিতেই হবে আর যারা নিতে পারছেন না বুঝতে হবে এটা অনিহা অথবা আপনারা হেয়ালিপনা করছেন আপনি যে কথা বলছেন সে গুরুত্বটি দিয়ে পড়া উত্তরটি নেব আমরা")</f>
        <v>স ক্যাম্পেন চলাকালে যদি খাওয়াতে না পারি দেখুন আগে একটি দিন নির্ধারণ করা ছিল কোনো কারণে একটি দিন আসতে পারেনি এখন পাঁচই জুন থেকে উনিশে জুন একনাগাড়ে কতদিন দেখেন আজকে পেলেন না আগামীকাল তুমি চি পাবেন আগামীকাল ব্যস্ত তারপর দুনতে পারবেন সুযোগ নিশ্চয় হবে সুতরাং আপনাকে এ সুযোগটা নিতেই হবে আর যারা নিতে পারছেন না বুঝতে হবে এটা অনিহা অথবা আপনারা হেয়ালিপনা করছেন আপনি যে কথা বলছেন সে গুরুত্বটি দিয়ে পড়া উত্তরটি নেব আমরা</v>
      </c>
      <c r="D7" s="2" t="str">
        <f>IFERROR(__xludf.DUMMYFUNCTION("""COMPUTED_VALUE"""),"No")</f>
        <v>No</v>
      </c>
      <c r="E7" s="2" t="str">
        <f>IFERROR(__xludf.DUMMYFUNCTION("""COMPUTED_VALUE"""),"Yes")</f>
        <v>Yes</v>
      </c>
      <c r="F7" s="2" t="str">
        <f>IFERROR(__xludf.DUMMYFUNCTION("""COMPUTED_VALUE"""),"Yes")</f>
        <v>Yes</v>
      </c>
      <c r="G7" s="2">
        <f>IFERROR(__xludf.DUMMYFUNCTION("""COMPUTED_VALUE"""),0.0)</f>
        <v>0</v>
      </c>
      <c r="H7" s="2">
        <f>IFERROR(__xludf.DUMMYFUNCTION("""COMPUTED_VALUE"""),0.0)</f>
        <v>0</v>
      </c>
      <c r="I7" s="2">
        <f>IFERROR(__xludf.DUMMYFUNCTION("""COMPUTED_VALUE"""),0.0)</f>
        <v>0</v>
      </c>
      <c r="J7" s="2">
        <f>IFERROR(__xludf.DUMMYFUNCTION("""COMPUTED_VALUE"""),0.0)</f>
        <v>0</v>
      </c>
      <c r="K7" s="2" t="str">
        <f>IFERROR(__xludf.DUMMYFUNCTION("""COMPUTED_VALUE"""),"5 – High-quality, Clean Bangla speech")</f>
        <v>5 – High-quality, Clean Bangla speech</v>
      </c>
      <c r="L7" s="2" t="str">
        <f>IFERROR(__xludf.DUMMYFUNCTION("""COMPUTED_VALUE"""),"No")</f>
        <v>No</v>
      </c>
    </row>
    <row r="8">
      <c r="A8" s="2" t="str">
        <f>IFERROR(__xludf.DUMMYFUNCTION("""COMPUTED_VALUE"""),"\collect\read\YouTube\TORONGO\_2X8LOMTO_Y\09075395-b9c0-4b75-a4e0-54bb5e807fe7.flac")</f>
        <v>\collect\read\YouTube\TORONGO\_2X8LOMTO_Y\09075395-b9c0-4b75-a4e0-54bb5e807fe7.flac</v>
      </c>
      <c r="B8" s="2">
        <f>IFERROR(__xludf.DUMMYFUNCTION("""COMPUTED_VALUE"""),30.0)</f>
        <v>30</v>
      </c>
      <c r="C8" s="2" t="str">
        <f>IFERROR(__xludf.DUMMYFUNCTION("""COMPUTED_VALUE"""),"একটা প্রশ্ন না করে পারছি না আমাদের শ্রোতা মনে একটা প্রশ্ন যে বাচ্চারা খেতেই চায় না তারা অরুচি শাক সবজি দিলে বমি শাক সবজিও পছন্দ কারণ আমরা বুঝি আপনি এতক্ষণ বলছিলেন যে ভিটামিন এ খাদ্যের মাধ্যমেই সংযোজনের চেষ্টা করতেই হবে যদিও ভিটামিন এ প্লাস ক্যাম্পেইন আমরা"&amp;" একবার দিচ্ছি কিন্তু প্রতিদিনের খাদ্যে শাক সবজি থাকা দরকার সে শাক সবজি বাচ্চার খেতেই চায়না পছন্দই করে না এটা তো মুখোমুখি আপনি প্রতিদিনই হব একজিন্টলি আসলে এ প্রশ্নের এবং এই সমস্যা সমাজ")</f>
        <v>একটা প্রশ্ন না করে পারছি না আমাদের শ্রোতা মনে একটা প্রশ্ন যে বাচ্চারা খেতেই চায় না তারা অরুচি শাক সবজি দিলে বমি শাক সবজিও পছন্দ কারণ আমরা বুঝি আপনি এতক্ষণ বলছিলেন যে ভিটামিন এ খাদ্যের মাধ্যমেই সংযোজনের চেষ্টা করতেই হবে যদিও ভিটামিন এ প্লাস ক্যাম্পেইন আমরা একবার দিচ্ছি কিন্তু প্রতিদিনের খাদ্যে শাক সবজি থাকা দরকার সে শাক সবজি বাচ্চার খেতেই চায়না পছন্দই করে না এটা তো মুখোমুখি আপনি প্রতিদিনই হব একজিন্টলি আসলে এ প্রশ্নের এবং এই সমস্যা সমাজ</v>
      </c>
      <c r="D8" s="2" t="str">
        <f>IFERROR(__xludf.DUMMYFUNCTION("""COMPUTED_VALUE"""),"Yes")</f>
        <v>Yes</v>
      </c>
      <c r="E8" s="2" t="str">
        <f>IFERROR(__xludf.DUMMYFUNCTION("""COMPUTED_VALUE"""),"Yes")</f>
        <v>Yes</v>
      </c>
      <c r="F8" s="2" t="str">
        <f>IFERROR(__xludf.DUMMYFUNCTION("""COMPUTED_VALUE"""),"Yes")</f>
        <v>Yes</v>
      </c>
      <c r="G8" s="2">
        <f>IFERROR(__xludf.DUMMYFUNCTION("""COMPUTED_VALUE"""),1.0)</f>
        <v>1</v>
      </c>
      <c r="H8" s="2">
        <f>IFERROR(__xludf.DUMMYFUNCTION("""COMPUTED_VALUE"""),1.0)</f>
        <v>1</v>
      </c>
      <c r="I8" s="2">
        <f>IFERROR(__xludf.DUMMYFUNCTION("""COMPUTED_VALUE"""),0.5)</f>
        <v>0.5</v>
      </c>
      <c r="J8" s="2">
        <f>IFERROR(__xludf.DUMMYFUNCTION("""COMPUTED_VALUE"""),0.5)</f>
        <v>0.5</v>
      </c>
      <c r="K8" s="2" t="str">
        <f>IFERROR(__xludf.DUMMYFUNCTION("""COMPUTED_VALUE"""),"5 – High-quality, Clean Bangla speech")</f>
        <v>5 – High-quality, Clean Bangla speech</v>
      </c>
      <c r="L8" s="2" t="str">
        <f>IFERROR(__xludf.DUMMYFUNCTION("""COMPUTED_VALUE"""),"No")</f>
        <v>No</v>
      </c>
    </row>
    <row r="9">
      <c r="A9" s="2" t="str">
        <f>IFERROR(__xludf.DUMMYFUNCTION("""COMPUTED_VALUE"""),"\collect\read\YouTube\TORONGO\_2X8LOMTO_Y\102c8576-b6b9-4ae5-bbe1-7e7fff44cdae.flac")</f>
        <v>\collect\read\YouTube\TORONGO\_2X8LOMTO_Y\102c8576-b6b9-4ae5-bbe1-7e7fff44cdae.flac</v>
      </c>
      <c r="B9" s="2">
        <f>IFERROR(__xludf.DUMMYFUNCTION("""COMPUTED_VALUE"""),30.0)</f>
        <v>30</v>
      </c>
      <c r="C9" s="2" t="str">
        <f>IFERROR(__xludf.DUMMYFUNCTION("""COMPUTED_VALUE"""),"কি যুক্ত হয়েছে ভিটামিনএ দেয়া হবে মূল কথা এটাই মনে রাখতে হবে একটি প্রসঙ্গ আসি অনেক বাচ্চারা তার মা বাবা চায় যে বাসায় নিয়েই যে আমরা খাওবা মার হাতে ক্যাপশুলটা দিয়ে দিন তখন কি করা জায়গায় পেবি ধন্যবাদ খুবই গুরুত্বপূর্ণ প্রশ্ন অনেকে কিন্তু এসে আপদার করে আমরা যে"&amp;" ইয়ের মধ্যে রাখি যারা প্রিজারভেশন করে তার মধ্যে একটা নির্দিষ্ট তাপমাত্রার মধ্যে নদশট দের আমরা রাখি এবং ইিলকেট সো আরকেক্স এগুলো যদি আমরা কাগজে পেছিয়ে নিয়ে যাই তাহলে তারা যে এফিকেসি বা")</f>
        <v>কি যুক্ত হয়েছে ভিটামিনএ দেয়া হবে মূল কথা এটাই মনে রাখতে হবে একটি প্রসঙ্গ আসি অনেক বাচ্চারা তার মা বাবা চায় যে বাসায় নিয়েই যে আমরা খাওবা মার হাতে ক্যাপশুলটা দিয়ে দিন তখন কি করা জায়গায় পেবি ধন্যবাদ খুবই গুরুত্বপূর্ণ প্রশ্ন অনেকে কিন্তু এসে আপদার করে আমরা যে ইয়ের মধ্যে রাখি যারা প্রিজারভেশন করে তার মধ্যে একটা নির্দিষ্ট তাপমাত্রার মধ্যে নদশট দের আমরা রাখি এবং ইিলকেট সো আরকেক্স এগুলো যদি আমরা কাগজে পেছিয়ে নিয়ে যাই তাহলে তারা যে এফিকেসি বা</v>
      </c>
      <c r="D9" s="2" t="str">
        <f>IFERROR(__xludf.DUMMYFUNCTION("""COMPUTED_VALUE"""),"Yes")</f>
        <v>Yes</v>
      </c>
      <c r="E9" s="2" t="str">
        <f>IFERROR(__xludf.DUMMYFUNCTION("""COMPUTED_VALUE"""),"Yes")</f>
        <v>Yes</v>
      </c>
      <c r="F9" s="2" t="str">
        <f>IFERROR(__xludf.DUMMYFUNCTION("""COMPUTED_VALUE"""),"Yes")</f>
        <v>Yes</v>
      </c>
      <c r="G9" s="2">
        <f>IFERROR(__xludf.DUMMYFUNCTION("""COMPUTED_VALUE"""),0.5)</f>
        <v>0.5</v>
      </c>
      <c r="H9" s="2">
        <f>IFERROR(__xludf.DUMMYFUNCTION("""COMPUTED_VALUE"""),0.5)</f>
        <v>0.5</v>
      </c>
      <c r="I9" s="2">
        <f>IFERROR(__xludf.DUMMYFUNCTION("""COMPUTED_VALUE"""),0.5)</f>
        <v>0.5</v>
      </c>
      <c r="J9" s="2">
        <f>IFERROR(__xludf.DUMMYFUNCTION("""COMPUTED_VALUE"""),0.5)</f>
        <v>0.5</v>
      </c>
      <c r="K9" s="2" t="str">
        <f>IFERROR(__xludf.DUMMYFUNCTION("""COMPUTED_VALUE"""),"5 – High-quality, Clean Bangla speech")</f>
        <v>5 – High-quality, Clean Bangla speech</v>
      </c>
      <c r="L9" s="2" t="str">
        <f>IFERROR(__xludf.DUMMYFUNCTION("""COMPUTED_VALUE"""),"Yes")</f>
        <v>Yes</v>
      </c>
    </row>
    <row r="10">
      <c r="A10" s="2" t="str">
        <f>IFERROR(__xludf.DUMMYFUNCTION("""COMPUTED_VALUE"""),"\collect\read\YouTube\TORONGO\_2X8LOMTO_Y\162d5313-ee9c-4c87-b22a-354b1017092b.flac")</f>
        <v>\collect\read\YouTube\TORONGO\_2X8LOMTO_Y\162d5313-ee9c-4c87-b22a-354b1017092b.flac</v>
      </c>
      <c r="B10" s="2">
        <f>IFERROR(__xludf.DUMMYFUNCTION("""COMPUTED_VALUE"""),30.0)</f>
        <v>30</v>
      </c>
      <c r="C10" s="2" t="str">
        <f>IFERROR(__xludf.DUMMYFUNCTION("""COMPUTED_VALUE"""),"যেটা ফ্রেশ আম বা লিচু আমি ফরমালিন যুক্ত না ফ্রেশ শাম বা লিচু যদি আমরা ইউজ করতে পারি বা আমরা পাকা পেঁপে পাওয়া যায় আমাদের অনেকগুলো বেশি ফল আছে দেশি ফলগুলো যদি আমরা বাচ্চাতে ক্যান শুরু করতে পারি তাহলে কিন্তু আসলে এ সমস্যাটা আর হয় না এ তথ্যগুলো আপনারা বারবার "&amp;"আলোচনা করবেন আমরা আলোচনা আনতে চাই আমরা চলে যাই আপনাদের কাছে নিচি ফোন কল হ্যালো হ্যালো নমাকার শুভেচ্ছা")</f>
        <v>যেটা ফ্রেশ আম বা লিচু আমি ফরমালিন যুক্ত না ফ্রেশ শাম বা লিচু যদি আমরা ইউজ করতে পারি বা আমরা পাকা পেঁপে পাওয়া যায় আমাদের অনেকগুলো বেশি ফল আছে দেশি ফলগুলো যদি আমরা বাচ্চাতে ক্যান শুরু করতে পারি তাহলে কিন্তু আসলে এ সমস্যাটা আর হয় না এ তথ্যগুলো আপনারা বারবার আলোচনা করবেন আমরা আলোচনা আনতে চাই আমরা চলে যাই আপনাদের কাছে নিচি ফোন কল হ্যালো হ্যালো নমাকার শুভেচ্ছা</v>
      </c>
      <c r="D10" s="2" t="str">
        <f>IFERROR(__xludf.DUMMYFUNCTION("""COMPUTED_VALUE"""),"Yes")</f>
        <v>Yes</v>
      </c>
      <c r="E10" s="2" t="str">
        <f>IFERROR(__xludf.DUMMYFUNCTION("""COMPUTED_VALUE"""),"No")</f>
        <v>No</v>
      </c>
      <c r="F10" s="2" t="str">
        <f>IFERROR(__xludf.DUMMYFUNCTION("""COMPUTED_VALUE"""),"Yes")</f>
        <v>Yes</v>
      </c>
      <c r="G10" s="2">
        <f>IFERROR(__xludf.DUMMYFUNCTION("""COMPUTED_VALUE"""),0.5)</f>
        <v>0.5</v>
      </c>
      <c r="H10" s="2">
        <f>IFERROR(__xludf.DUMMYFUNCTION("""COMPUTED_VALUE"""),0.5)</f>
        <v>0.5</v>
      </c>
      <c r="I10" s="2">
        <f>IFERROR(__xludf.DUMMYFUNCTION("""COMPUTED_VALUE"""),1.0)</f>
        <v>1</v>
      </c>
      <c r="J10" s="2">
        <f>IFERROR(__xludf.DUMMYFUNCTION("""COMPUTED_VALUE"""),0.5)</f>
        <v>0.5</v>
      </c>
      <c r="K10" s="2" t="str">
        <f>IFERROR(__xludf.DUMMYFUNCTION("""COMPUTED_VALUE"""),"5 – High-quality, Clean Bangla speech")</f>
        <v>5 – High-quality, Clean Bangla speech</v>
      </c>
      <c r="L10" s="2" t="str">
        <f>IFERROR(__xludf.DUMMYFUNCTION("""COMPUTED_VALUE"""),"No")</f>
        <v>No</v>
      </c>
    </row>
    <row r="11">
      <c r="A11" s="2" t="str">
        <f>IFERROR(__xludf.DUMMYFUNCTION("""COMPUTED_VALUE"""),"\collect\read\YouTube\TORONGO\_2X8LOMTO_Y\1c7e3d9d-bc7f-422b-b5d3-d22ec5ed6562.flac")</f>
        <v>\collect\read\YouTube\TORONGO\_2X8LOMTO_Y\1c7e3d9d-bc7f-422b-b5d3-d22ec5ed6562.flac</v>
      </c>
      <c r="B11" s="2">
        <f>IFERROR(__xludf.DUMMYFUNCTION("""COMPUTED_VALUE"""),30.0)</f>
        <v>30</v>
      </c>
      <c r="C11" s="2" t="str">
        <f>IFERROR(__xludf.DUMMYFUNCTION("""COMPUTED_VALUE"""),"দেখটার রিজওয়াল হোসেন বিপুল তিনি শিশুর বিশেষজ্ঞ এই যে আমরা ভিটামিনের ক্যাপসুল খাওয়াব বাচ্চাদের কোনো পাচশ প্রযুক্তি আছে কিনা তিনি জানতে চান ধন্যবাদ আমি আপনারই পরিপ্রেক্ষিতেই আবার ওই আলোচনাতায় আসে পাঁচ থেকে উনিশ জুন মানে হচ্ছে চৌদ্দ দিন দুই সপ্তাহ যেকোনো একট"&amp;"া দিন আপনি কিন্তু জয়েস করে রাখতে পারেন এবং আপনার আশেপাশে কিন্তু আপনি দেখতে পাবেন যে আপনার যারা স্বাস্থ্যকর্মী দক্ষ স্বাস্থ্যকর্মী যারা জনস্বাস্থ্য পুষ্টি পুষ্টষ্টোর উদ্যোগে তৈরি হয়ে আছে আপনার বাচ্চাকে ভিটামিন এ কার")</f>
        <v>দেখটার রিজওয়াল হোসেন বিপুল তিনি শিশুর বিশেষজ্ঞ এই যে আমরা ভিটামিনের ক্যাপসুল খাওয়াব বাচ্চাদের কোনো পাচশ প্রযুক্তি আছে কিনা তিনি জানতে চান ধন্যবাদ আমি আপনারই পরিপ্রেক্ষিতেই আবার ওই আলোচনাতায় আসে পাঁচ থেকে উনিশ জুন মানে হচ্ছে চৌদ্দ দিন দুই সপ্তাহ যেকোনো একটা দিন আপনি কিন্তু জয়েস করে রাখতে পারেন এবং আপনার আশেপাশে কিন্তু আপনি দেখতে পাবেন যে আপনার যারা স্বাস্থ্যকর্মী দক্ষ স্বাস্থ্যকর্মী যারা জনস্বাস্থ্য পুষ্টি পুষ্টষ্টোর উদ্যোগে তৈরি হয়ে আছে আপনার বাচ্চাকে ভিটামিন এ কার</v>
      </c>
      <c r="D11" s="2" t="str">
        <f>IFERROR(__xludf.DUMMYFUNCTION("""COMPUTED_VALUE"""),"Yes")</f>
        <v>Yes</v>
      </c>
      <c r="E11" s="2" t="str">
        <f>IFERROR(__xludf.DUMMYFUNCTION("""COMPUTED_VALUE"""),"Yes")</f>
        <v>Yes</v>
      </c>
      <c r="F11" s="2" t="str">
        <f>IFERROR(__xludf.DUMMYFUNCTION("""COMPUTED_VALUE"""),"Yes")</f>
        <v>Yes</v>
      </c>
      <c r="G11" s="2">
        <f>IFERROR(__xludf.DUMMYFUNCTION("""COMPUTED_VALUE"""),0.5)</f>
        <v>0.5</v>
      </c>
      <c r="H11" s="2">
        <f>IFERROR(__xludf.DUMMYFUNCTION("""COMPUTED_VALUE"""),0.5)</f>
        <v>0.5</v>
      </c>
      <c r="I11" s="2">
        <f>IFERROR(__xludf.DUMMYFUNCTION("""COMPUTED_VALUE"""),1.0)</f>
        <v>1</v>
      </c>
      <c r="J11" s="2">
        <f>IFERROR(__xludf.DUMMYFUNCTION("""COMPUTED_VALUE"""),1.0)</f>
        <v>1</v>
      </c>
      <c r="K11" s="2" t="str">
        <f>IFERROR(__xludf.DUMMYFUNCTION("""COMPUTED_VALUE"""),"5 – High-quality, Clean Bangla speech")</f>
        <v>5 – High-quality, Clean Bangla speech</v>
      </c>
      <c r="L11" s="2" t="str">
        <f>IFERROR(__xludf.DUMMYFUNCTION("""COMPUTED_VALUE"""),"No")</f>
        <v>No</v>
      </c>
    </row>
    <row r="12">
      <c r="A12" s="2" t="str">
        <f>IFERROR(__xludf.DUMMYFUNCTION("""COMPUTED_VALUE"""),"\collect\read\YouTube\TORONGO\_2X8LOMTO_Y\206da2b3-f3d3-449c-b313-1f4e786ad90f.flac")</f>
        <v>\collect\read\YouTube\TORONGO\_2X8LOMTO_Y\206da2b3-f3d3-449c-b313-1f4e786ad90f.flac</v>
      </c>
      <c r="B12" s="2">
        <f>IFERROR(__xludf.DUMMYFUNCTION("""COMPUTED_VALUE"""),30.0)</f>
        <v>30</v>
      </c>
      <c r="C12" s="2" t="str">
        <f>IFERROR(__xludf.DUMMYFUNCTION("""COMPUTED_VALUE"""),"মাননীয় স্বাস্থ্য মন্ত্রণালয় এবং জাতীয় পুষ্টি প্রতিষ্ঠান অ্যান্এনেস্ট নিউট্রিশন ন্যাশনাল নিউট্রিশন সার্ভিসের উদ্যোগে সারাদেশব্যাপী যে ভিটামিন এ প্লাস ক্যাম্পেইনটাও পরিচালিত হয়ে আসছে সেটারই ধারাবাহিকতায় আগামী পাঁচ জুন থেকে উনিশে জুন তারিখ দুই হাজার একুশ এর "&amp;"মধ্যে সমস্ত দেশব্যাপী আসলে ভিটামিন এই প্লাস ক্যাম্পেন এক হরাণোর উদ্যোগ নেওয়া হয়েছে যেটাকে অবশ্যই স্বাগতম জানাতো হয় একটা জিনিস সেখানে হচ্ছে ভিটামিন এ হচ্ছে এমন একটা গুরুত্বপূর্ণ অণুপুষ্টি যেগুলার অভাব")</f>
        <v>মাননীয় স্বাস্থ্য মন্ত্রণালয় এবং জাতীয় পুষ্টি প্রতিষ্ঠান অ্যান্এনেস্ট নিউট্রিশন ন্যাশনাল নিউট্রিশন সার্ভিসের উদ্যোগে সারাদেশব্যাপী যে ভিটামিন এ প্লাস ক্যাম্পেইনটাও পরিচালিত হয়ে আসছে সেটারই ধারাবাহিকতায় আগামী পাঁচ জুন থেকে উনিশে জুন তারিখ দুই হাজার একুশ এর মধ্যে সমস্ত দেশব্যাপী আসলে ভিটামিন এই প্লাস ক্যাম্পেন এক হরাণোর উদ্যোগ নেওয়া হয়েছে যেটাকে অবশ্যই স্বাগতম জানাতো হয় একটা জিনিস সেখানে হচ্ছে ভিটামিন এ হচ্ছে এমন একটা গুরুত্বপূর্ণ অণুপুষ্টি যেগুলার অভাব</v>
      </c>
      <c r="D12" s="2" t="str">
        <f>IFERROR(__xludf.DUMMYFUNCTION("""COMPUTED_VALUE"""),"Yes")</f>
        <v>Yes</v>
      </c>
      <c r="E12" s="2" t="str">
        <f>IFERROR(__xludf.DUMMYFUNCTION("""COMPUTED_VALUE"""),"Yes")</f>
        <v>Yes</v>
      </c>
      <c r="F12" s="2" t="str">
        <f>IFERROR(__xludf.DUMMYFUNCTION("""COMPUTED_VALUE"""),"Yes")</f>
        <v>Yes</v>
      </c>
      <c r="G12" s="2">
        <f>IFERROR(__xludf.DUMMYFUNCTION("""COMPUTED_VALUE"""),0.5)</f>
        <v>0.5</v>
      </c>
      <c r="H12" s="2">
        <f>IFERROR(__xludf.DUMMYFUNCTION("""COMPUTED_VALUE"""),0.5)</f>
        <v>0.5</v>
      </c>
      <c r="I12" s="2">
        <f>IFERROR(__xludf.DUMMYFUNCTION("""COMPUTED_VALUE"""),0.5)</f>
        <v>0.5</v>
      </c>
      <c r="J12" s="2">
        <f>IFERROR(__xludf.DUMMYFUNCTION("""COMPUTED_VALUE"""),0.5)</f>
        <v>0.5</v>
      </c>
      <c r="K12" s="2" t="str">
        <f>IFERROR(__xludf.DUMMYFUNCTION("""COMPUTED_VALUE"""),"5 – High-quality, Clean Bangla speech")</f>
        <v>5 – High-quality, Clean Bangla speech</v>
      </c>
      <c r="L12" s="2" t="str">
        <f>IFERROR(__xludf.DUMMYFUNCTION("""COMPUTED_VALUE"""),"Yes")</f>
        <v>Yes</v>
      </c>
    </row>
    <row r="13">
      <c r="A13" s="2" t="str">
        <f>IFERROR(__xludf.DUMMYFUNCTION("""COMPUTED_VALUE"""),"\collect\read\YouTube\TORONGO\_2X8LOMTO_Y\22dc5a1d-4fdc-4cda-9f32-499fa1ab2c36.flac")</f>
        <v>\collect\read\YouTube\TORONGO\_2X8LOMTO_Y\22dc5a1d-4fdc-4cda-9f32-499fa1ab2c36.flac</v>
      </c>
      <c r="B13" s="2">
        <f>IFERROR(__xludf.DUMMYFUNCTION("""COMPUTED_VALUE"""),30.0)</f>
        <v>30</v>
      </c>
      <c r="C13" s="2" t="str">
        <f>IFERROR(__xludf.DUMMYFUNCTION("""COMPUTED_VALUE"""),"এজন্য একটা ব্যবস্থা আছে আমরা জুম্মার দিনে এটা জানিয়ে দেব অনেকে দেখবেন যেটা অংশগ্রহণ করছেন জিনে এবং যিনি জেনেছেন তিনি অন্য কেউ জানাবেন এটা প্রয়োজনীয়তা গুরুত্ব অনেক বেশি আমরা যে রোগের কথা বল শুনি শ্বাসতন্ত্রের সংক্রমণ ডায়রিয়া পাতলা প্খানা জ্োর এগুলোর ব্যাপট"&amp;"িকাল কম থাকে এখন বন্ধ হয়ে যাবে তা নয় অশুখ হতেই পারে কিন্তু বেযাপ্টিক্যাল কম থাকে সুতরাং এর গুরুত্ব এর প্রয়োজনীয়তা আমাদের মনে কোর রাখতেই হবে এবং একে অন্যকে জানাবেন আগামী পাঁচই জুন থেকে উনিশে জুন পর্যন্ত")</f>
        <v>এজন্য একটা ব্যবস্থা আছে আমরা জুম্মার দিনে এটা জানিয়ে দেব অনেকে দেখবেন যেটা অংশগ্রহণ করছেন জিনে এবং যিনি জেনেছেন তিনি অন্য কেউ জানাবেন এটা প্রয়োজনীয়তা গুরুত্ব অনেক বেশি আমরা যে রোগের কথা বল শুনি শ্বাসতন্ত্রের সংক্রমণ ডায়রিয়া পাতলা প্খানা জ্োর এগুলোর ব্যাপটিকাল কম থাকে এখন বন্ধ হয়ে যাবে তা নয় অশুখ হতেই পারে কিন্তু বেযাপ্টিক্যাল কম থাকে সুতরাং এর গুরুত্ব এর প্রয়োজনীয়তা আমাদের মনে কোর রাখতেই হবে এবং একে অন্যকে জানাবেন আগামী পাঁচই জুন থেকে উনিশে জুন পর্যন্ত</v>
      </c>
      <c r="D13" s="2" t="str">
        <f>IFERROR(__xludf.DUMMYFUNCTION("""COMPUTED_VALUE"""),"Yes")</f>
        <v>Yes</v>
      </c>
      <c r="E13" s="2" t="str">
        <f>IFERROR(__xludf.DUMMYFUNCTION("""COMPUTED_VALUE"""),"No")</f>
        <v>No</v>
      </c>
      <c r="F13" s="2" t="str">
        <f>IFERROR(__xludf.DUMMYFUNCTION("""COMPUTED_VALUE"""),"Yes")</f>
        <v>Yes</v>
      </c>
      <c r="G13" s="2">
        <f>IFERROR(__xludf.DUMMYFUNCTION("""COMPUTED_VALUE"""),0.5)</f>
        <v>0.5</v>
      </c>
      <c r="H13" s="2">
        <f>IFERROR(__xludf.DUMMYFUNCTION("""COMPUTED_VALUE"""),0.5)</f>
        <v>0.5</v>
      </c>
      <c r="I13" s="2">
        <f>IFERROR(__xludf.DUMMYFUNCTION("""COMPUTED_VALUE"""),1.0)</f>
        <v>1</v>
      </c>
      <c r="J13" s="2">
        <f>IFERROR(__xludf.DUMMYFUNCTION("""COMPUTED_VALUE"""),0.5)</f>
        <v>0.5</v>
      </c>
      <c r="K13" s="2" t="str">
        <f>IFERROR(__xludf.DUMMYFUNCTION("""COMPUTED_VALUE"""),"5 – High-quality, Clean Bangla speech")</f>
        <v>5 – High-quality, Clean Bangla speech</v>
      </c>
      <c r="L13" s="2" t="str">
        <f>IFERROR(__xludf.DUMMYFUNCTION("""COMPUTED_VALUE"""),"No")</f>
        <v>No</v>
      </c>
    </row>
    <row r="14">
      <c r="A14" s="2" t="str">
        <f>IFERROR(__xludf.DUMMYFUNCTION("""COMPUTED_VALUE"""),"\collect\read\YouTube\TORONGO\_2X8LOMTO_Y\26b30da1-0109-4c7d-a1de-834a1b571b43.flac")</f>
        <v>\collect\read\YouTube\TORONGO\_2X8LOMTO_Y\26b30da1-0109-4c7d-a1de-834a1b571b43.flac</v>
      </c>
      <c r="B14" s="2">
        <f>IFERROR(__xludf.DUMMYFUNCTION("""COMPUTED_VALUE"""),30.0)</f>
        <v>30</v>
      </c>
      <c r="C14" s="2" t="str">
        <f>IFERROR(__xludf.DUMMYFUNCTION("""COMPUTED_VALUE"""),"মাসেক্ষেত্রে অনেক সময় অনেকগুলো অনুপুষ্টির অভাব তাদের শরীরে থেকে যায় এবং বিভিন্ন রোগে আক্রান্ত হয়ে পড়ে সেক্ষেত্রে এই ভিটামিন এপ্লাস ক্যাম্পেনিং এ উদ্যোক্তা সবসময়ের জন্য আসলে উইলকম যা আমরা একটা ফেসবুক পেজের প্রশ্নে চলে যায় পলাশ চন্দ্র রয় প্রশ্নটি পাঠিয়েছেন "&amp;"তিনি জানতে চান জাতীয় ভিটামিন এ প্লাস ক্যাম্পেইনে আমরা শুধু বাচ্চাদের খাওয়াই অন্যরাও তো খাওয়ানো দরকার যারা একটু বাচ্চা থেকে বড় অর্থাৎ আমরা একটু আগে বলেছি যে ছয় মাস থেকে পাঁচ বছর সাত বছর আট বছর দর")</f>
        <v>মাসেক্ষেত্রে অনেক সময় অনেকগুলো অনুপুষ্টির অভাব তাদের শরীরে থেকে যায় এবং বিভিন্ন রোগে আক্রান্ত হয়ে পড়ে সেক্ষেত্রে এই ভিটামিন এপ্লাস ক্যাম্পেনিং এ উদ্যোক্তা সবসময়ের জন্য আসলে উইলকম যা আমরা একটা ফেসবুক পেজের প্রশ্নে চলে যায় পলাশ চন্দ্র রয় প্রশ্নটি পাঠিয়েছেন তিনি জানতে চান জাতীয় ভিটামিন এ প্লাস ক্যাম্পেইনে আমরা শুধু বাচ্চাদের খাওয়াই অন্যরাও তো খাওয়ানো দরকার যারা একটু বাচ্চা থেকে বড় অর্থাৎ আমরা একটু আগে বলেছি যে ছয় মাস থেকে পাঁচ বছর সাত বছর আট বছর দর</v>
      </c>
      <c r="D14" s="2" t="str">
        <f>IFERROR(__xludf.DUMMYFUNCTION("""COMPUTED_VALUE"""),"Yes")</f>
        <v>Yes</v>
      </c>
      <c r="E14" s="2" t="str">
        <f>IFERROR(__xludf.DUMMYFUNCTION("""COMPUTED_VALUE"""),"No")</f>
        <v>No</v>
      </c>
      <c r="F14" s="2" t="str">
        <f>IFERROR(__xludf.DUMMYFUNCTION("""COMPUTED_VALUE"""),"Yes")</f>
        <v>Yes</v>
      </c>
      <c r="G14" s="2">
        <f>IFERROR(__xludf.DUMMYFUNCTION("""COMPUTED_VALUE"""),0.5)</f>
        <v>0.5</v>
      </c>
      <c r="H14" s="2">
        <f>IFERROR(__xludf.DUMMYFUNCTION("""COMPUTED_VALUE"""),1.0)</f>
        <v>1</v>
      </c>
      <c r="I14" s="2">
        <f>IFERROR(__xludf.DUMMYFUNCTION("""COMPUTED_VALUE"""),1.0)</f>
        <v>1</v>
      </c>
      <c r="J14" s="2">
        <f>IFERROR(__xludf.DUMMYFUNCTION("""COMPUTED_VALUE"""),0.5)</f>
        <v>0.5</v>
      </c>
      <c r="K14" s="2" t="str">
        <f>IFERROR(__xludf.DUMMYFUNCTION("""COMPUTED_VALUE"""),"5 – High-quality, Clean Bangla speech")</f>
        <v>5 – High-quality, Clean Bangla speech</v>
      </c>
      <c r="L14" s="2" t="str">
        <f>IFERROR(__xludf.DUMMYFUNCTION("""COMPUTED_VALUE"""),"No")</f>
        <v>No</v>
      </c>
    </row>
    <row r="15">
      <c r="A15" s="2" t="str">
        <f>IFERROR(__xludf.DUMMYFUNCTION("""COMPUTED_VALUE"""),"\collect\read\YouTube\TORONGO\_2X8LOMTO_Y\278c9ec9-c77c-4721-b819-5feeaa5aa4f3.flac")</f>
        <v>\collect\read\YouTube\TORONGO\_2X8LOMTO_Y\278c9ec9-c77c-4721-b819-5feeaa5aa4f3.flac</v>
      </c>
      <c r="B15" s="2">
        <f>IFERROR(__xludf.DUMMYFUNCTION("""COMPUTED_VALUE"""),30.0)</f>
        <v>30</v>
      </c>
      <c r="C15" s="2" t="str">
        <f>IFERROR(__xludf.DUMMYFUNCTION("""COMPUTED_VALUE"""),"ছোট একটা শিশুও আছে বায়ানা ধরছে হাইসক্রিন খবর সেক্রেপা ক্ষতি করত রয়েছে বিকটাকি হাইস্ক্রিন খাতটি আবার কেউ কে ডিপকট ক্রমর্তী আপনি লাইনে থাকুন দেখুন আপনি যে আপনারা ফেসবুক পেজে প্রশ্ন অজবাব দিচ্ছে আপনি পাঠিয়েছেন আমার হাতে কাগজটা যে যদি কোনো শিশু যদি কোনো শিশু "&amp;"ভিটামিন এ প্লাস না খায় তো ভিতেমনি এ প্লাস এ ভিটামিন এ প্লাস কি করে খাবে ভিটামিন খাবে এ প্লাস কি করে খাবে এ উত্তরটি নিশ্চয় নিব")</f>
        <v>ছোট একটা শিশুও আছে বায়ানা ধরছে হাইসক্রিন খবর সেক্রেপা ক্ষতি করত রয়েছে বিকটাকি হাইস্ক্রিন খাতটি আবার কেউ কে ডিপকট ক্রমর্তী আপনি লাইনে থাকুন দেখুন আপনি যে আপনারা ফেসবুক পেজে প্রশ্ন অজবাব দিচ্ছে আপনি পাঠিয়েছেন আমার হাতে কাগজটা যে যদি কোনো শিশু যদি কোনো শিশু ভিটামিন এ প্লাস না খায় তো ভিতেমনি এ প্লাস এ ভিটামিন এ প্লাস কি করে খাবে ভিটামিন খাবে এ প্লাস কি করে খাবে এ উত্তরটি নিশ্চয় নিব</v>
      </c>
      <c r="D15" s="2" t="str">
        <f>IFERROR(__xludf.DUMMYFUNCTION("""COMPUTED_VALUE"""),"Yes")</f>
        <v>Yes</v>
      </c>
      <c r="E15" s="2" t="str">
        <f>IFERROR(__xludf.DUMMYFUNCTION("""COMPUTED_VALUE"""),"No")</f>
        <v>No</v>
      </c>
      <c r="F15" s="2" t="str">
        <f>IFERROR(__xludf.DUMMYFUNCTION("""COMPUTED_VALUE"""),"Yes")</f>
        <v>Yes</v>
      </c>
      <c r="G15" s="2">
        <f>IFERROR(__xludf.DUMMYFUNCTION("""COMPUTED_VALUE"""),0.5)</f>
        <v>0.5</v>
      </c>
      <c r="H15" s="2">
        <f>IFERROR(__xludf.DUMMYFUNCTION("""COMPUTED_VALUE"""),0.5)</f>
        <v>0.5</v>
      </c>
      <c r="I15" s="2">
        <f>IFERROR(__xludf.DUMMYFUNCTION("""COMPUTED_VALUE"""),0.5)</f>
        <v>0.5</v>
      </c>
      <c r="J15" s="2">
        <f>IFERROR(__xludf.DUMMYFUNCTION("""COMPUTED_VALUE"""),0.5)</f>
        <v>0.5</v>
      </c>
      <c r="K15" s="2" t="str">
        <f>IFERROR(__xludf.DUMMYFUNCTION("""COMPUTED_VALUE"""),"4– Usable, minor flaws Minor background noise.")</f>
        <v>4– Usable, minor flaws Minor background noise.</v>
      </c>
      <c r="L15" s="2" t="str">
        <f>IFERROR(__xludf.DUMMYFUNCTION("""COMPUTED_VALUE"""),"Yes")</f>
        <v>Yes</v>
      </c>
    </row>
    <row r="16">
      <c r="A16" s="2" t="str">
        <f>IFERROR(__xludf.DUMMYFUNCTION("""COMPUTED_VALUE"""),"\collect\read\YouTube\TORONGO\_2X8LOMTO_Y\3074f14e-8295-4ca9-8a1e-f2a718ff2fa3.flac")</f>
        <v>\collect\read\YouTube\TORONGO\_2X8LOMTO_Y\3074f14e-8295-4ca9-8a1e-f2a718ff2fa3.flac</v>
      </c>
      <c r="B16" s="2">
        <f>IFERROR(__xludf.DUMMYFUNCTION("""COMPUTED_VALUE"""),30.0)</f>
        <v>30</v>
      </c>
      <c r="C16" s="2" t="str">
        <f>IFERROR(__xludf.DUMMYFUNCTION("""COMPUTED_VALUE"""),"দেখেছে যে অনেক জায়গা সাজিয়েই বেলুন টেলিন দিয়ে সাজানো আছে এবং অনেক কেন্দ্র এই বাকটা কেন্দ্রগুলোর কথাকটু জানতে চায় ধন্যবাদ আসলে এক্ষেত্রে যে আমাদের বড় বড় হাসপাতালগুলো আছে সেগলোযে যে টিকা গান কেন্দ্র বা ইপিআই কেন্দ্র আছে সেগুলোতে তো অবশ্যই করা হবে সাথে হচ্ছে"&amp;" আমাদের যে আমাদের স্বাস্থ্য কেন্দ্রগুলো আছে সেগুলোতে আমরা ফ্ল্যাগ থাকে দেখুন অনেক সময় ইপিআইয় ের ফ্ল্যাগ বা ভিটামিন র প্লাস ক্যাম্পেনিং এ সাদা সুন্দর রঙের ফ্ল্যাক থাকে এই যে ফ্ল্যাকগুলা এগুলো কিন্তু আমরা বিভিন")</f>
        <v>দেখেছে যে অনেক জায়গা সাজিয়েই বেলুন টেলিন দিয়ে সাজানো আছে এবং অনেক কেন্দ্র এই বাকটা কেন্দ্রগুলোর কথাকটু জানতে চায় ধন্যবাদ আসলে এক্ষেত্রে যে আমাদের বড় বড় হাসপাতালগুলো আছে সেগলোযে যে টিকা গান কেন্দ্র বা ইপিআই কেন্দ্র আছে সেগুলোতে তো অবশ্যই করা হবে সাথে হচ্ছে আমাদের যে আমাদের স্বাস্থ্য কেন্দ্রগুলো আছে সেগুলোতে আমরা ফ্ল্যাগ থাকে দেখুন অনেক সময় ইপিআইয় ের ফ্ল্যাগ বা ভিটামিন র প্লাস ক্যাম্পেনিং এ সাদা সুন্দর রঙের ফ্ল্যাক থাকে এই যে ফ্ল্যাকগুলা এগুলো কিন্তু আমরা বিভিন</v>
      </c>
      <c r="D16" s="2" t="str">
        <f>IFERROR(__xludf.DUMMYFUNCTION("""COMPUTED_VALUE"""),"Yes")</f>
        <v>Yes</v>
      </c>
      <c r="E16" s="2" t="str">
        <f>IFERROR(__xludf.DUMMYFUNCTION("""COMPUTED_VALUE"""),"No")</f>
        <v>No</v>
      </c>
      <c r="F16" s="2" t="str">
        <f>IFERROR(__xludf.DUMMYFUNCTION("""COMPUTED_VALUE"""),"Yes")</f>
        <v>Yes</v>
      </c>
      <c r="G16" s="2">
        <f>IFERROR(__xludf.DUMMYFUNCTION("""COMPUTED_VALUE"""),0.5)</f>
        <v>0.5</v>
      </c>
      <c r="H16" s="2">
        <f>IFERROR(__xludf.DUMMYFUNCTION("""COMPUTED_VALUE"""),0.5)</f>
        <v>0.5</v>
      </c>
      <c r="I16" s="2">
        <f>IFERROR(__xludf.DUMMYFUNCTION("""COMPUTED_VALUE"""),0.5)</f>
        <v>0.5</v>
      </c>
      <c r="J16" s="2">
        <f>IFERROR(__xludf.DUMMYFUNCTION("""COMPUTED_VALUE"""),0.5)</f>
        <v>0.5</v>
      </c>
      <c r="K16" s="2" t="str">
        <f>IFERROR(__xludf.DUMMYFUNCTION("""COMPUTED_VALUE"""),"5 – High-quality, Clean Bangla speech")</f>
        <v>5 – High-quality, Clean Bangla speech</v>
      </c>
      <c r="L16" s="2" t="str">
        <f>IFERROR(__xludf.DUMMYFUNCTION("""COMPUTED_VALUE"""),"Yes")</f>
        <v>Yes</v>
      </c>
    </row>
    <row r="17">
      <c r="A17" s="2" t="str">
        <f>IFERROR(__xludf.DUMMYFUNCTION("""COMPUTED_VALUE"""),"\collect\read\YouTube\TORONGO\_2X8LOMTO_Y\3eda4b4d-3239-4855-a5a3-bd3853691a8e.flac")</f>
        <v>\collect\read\YouTube\TORONGO\_2X8LOMTO_Y\3eda4b4d-3239-4855-a5a3-bd3853691a8e.flac</v>
      </c>
      <c r="B17" s="2">
        <f>IFERROR(__xludf.DUMMYFUNCTION("""COMPUTED_VALUE"""),30.0)</f>
        <v>30</v>
      </c>
      <c r="C17" s="2" t="str">
        <f>IFERROR(__xludf.DUMMYFUNCTION("""COMPUTED_VALUE"""),"বিদি পাশে গুলে খাবে দুই বছর পর্যন্ত শুধু বুকে দুধ খাবে এবং বাড়িতে তৈরি করা হাড়ের খাবার খাবে এইসব বার্তাগুলোআমাদের বন্ধু একটা প্রশ্ন করেছেন দ্বীপক চক্রবর্তী একটা চমৎকার যে এই গরমে আইসক্রিম খাওয়ার প্রবণতা অনেক বেশি তা আইসক্রিমে কোনো ভিটামিন হাট্ছে কিনা আসলে"&amp;" আইসক্রিমগুলো কিভাবে যে তৈরি হচ্ছে কিভাবে যে প্রক্রিয়া যত হচ্ছে কিভাবে প্যাকেট যত প্যাকেটযাত কোনো কিছুর প্রতি কিন্তু আমাদের কোনোদিন চিকিৎসকদের সমতুল থাকে না সেক্ষেত্রে এই যে গরমের মধ্যে আমরা একটা ঠান্ডা জিনিস খাচ্ছি তাহলে কিন্তু আমরা কিন্তু")</f>
        <v>বিদি পাশে গুলে খাবে দুই বছর পর্যন্ত শুধু বুকে দুধ খাবে এবং বাড়িতে তৈরি করা হাড়ের খাবার খাবে এইসব বার্তাগুলোআমাদের বন্ধু একটা প্রশ্ন করেছেন দ্বীপক চক্রবর্তী একটা চমৎকার যে এই গরমে আইসক্রিম খাওয়ার প্রবণতা অনেক বেশি তা আইসক্রিমে কোনো ভিটামিন হাট্ছে কিনা আসলে আইসক্রিমগুলো কিভাবে যে তৈরি হচ্ছে কিভাবে যে প্রক্রিয়া যত হচ্ছে কিভাবে প্যাকেট যত প্যাকেটযাত কোনো কিছুর প্রতি কিন্তু আমাদের কোনোদিন চিকিৎসকদের সমতুল থাকে না সেক্ষেত্রে এই যে গরমের মধ্যে আমরা একটা ঠান্ডা জিনিস খাচ্ছি তাহলে কিন্তু আমরা কিন্তু</v>
      </c>
      <c r="D17" s="2" t="str">
        <f>IFERROR(__xludf.DUMMYFUNCTION("""COMPUTED_VALUE"""),"Yes")</f>
        <v>Yes</v>
      </c>
      <c r="E17" s="2" t="str">
        <f>IFERROR(__xludf.DUMMYFUNCTION("""COMPUTED_VALUE"""),"No")</f>
        <v>No</v>
      </c>
      <c r="F17" s="2" t="str">
        <f>IFERROR(__xludf.DUMMYFUNCTION("""COMPUTED_VALUE"""),"Yes")</f>
        <v>Yes</v>
      </c>
      <c r="G17" s="2">
        <f>IFERROR(__xludf.DUMMYFUNCTION("""COMPUTED_VALUE"""),0.5)</f>
        <v>0.5</v>
      </c>
      <c r="H17" s="2">
        <f>IFERROR(__xludf.DUMMYFUNCTION("""COMPUTED_VALUE"""),1.0)</f>
        <v>1</v>
      </c>
      <c r="I17" s="2">
        <f>IFERROR(__xludf.DUMMYFUNCTION("""COMPUTED_VALUE"""),1.0)</f>
        <v>1</v>
      </c>
      <c r="J17" s="2">
        <f>IFERROR(__xludf.DUMMYFUNCTION("""COMPUTED_VALUE"""),0.5)</f>
        <v>0.5</v>
      </c>
      <c r="K17" s="2" t="str">
        <f>IFERROR(__xludf.DUMMYFUNCTION("""COMPUTED_VALUE"""),"4– Usable, minor flaws Minor background noise.")</f>
        <v>4– Usable, minor flaws Minor background noise.</v>
      </c>
      <c r="L17" s="2" t="str">
        <f>IFERROR(__xludf.DUMMYFUNCTION("""COMPUTED_VALUE"""),"Yes")</f>
        <v>Yes</v>
      </c>
    </row>
    <row r="18">
      <c r="A18" s="2" t="str">
        <f>IFERROR(__xludf.DUMMYFUNCTION("""COMPUTED_VALUE"""),"\collect\read\YouTube\TORONGO\_2X8LOMTO_Y\47b7eadf-1a0a-43dd-a946-f25978c9264a.flac")</f>
        <v>\collect\read\YouTube\TORONGO\_2X8LOMTO_Y\47b7eadf-1a0a-43dd-a946-f25978c9264a.flac</v>
      </c>
      <c r="B18" s="2">
        <f>IFERROR(__xludf.DUMMYFUNCTION("""COMPUTED_VALUE"""),30.0)</f>
        <v>30</v>
      </c>
      <c r="C18" s="2" t="str">
        <f>IFERROR(__xludf.DUMMYFUNCTION("""COMPUTED_VALUE"""),"তারিখ পালিত হবে আশা করি কুস্তি লিখে নিয়েছেন তাহলে উত্তর পাঠাতে চিঠি লিখুন প্রযোজক পুষ্টি বিষয়ক বেতার ক্যাম্পেইন ফোন অনুষ্ঠান প্রজন্মের পরিচালক বাংলাদেশ বেতার ঢাকা একত্রিশ সৈয়দ মাহবুব মোর্শেদ সরণী শেরবাংলানগর ঢাকা অথবা ইমেইল করুন আমাদের পরিবর্তিত মেইল ঠিকা"&amp;"নায় মেল ঠিকার্টি খেয়াল করে শুনুন এবং লিখে নিন পুষ্টি টিইউএসটিআই ডট বিবি বাংলাদেশ বেতার")</f>
        <v>তারিখ পালিত হবে আশা করি কুস্তি লিখে নিয়েছেন তাহলে উত্তর পাঠাতে চিঠি লিখুন প্রযোজক পুষ্টি বিষয়ক বেতার ক্যাম্পেইন ফোন অনুষ্ঠান প্রজন্মের পরিচালক বাংলাদেশ বেতার ঢাকা একত্রিশ সৈয়দ মাহবুব মোর্শেদ সরণী শেরবাংলানগর ঢাকা অথবা ইমেইল করুন আমাদের পরিবর্তিত মেইল ঠিকানায় মেল ঠিকার্টি খেয়াল করে শুনুন এবং লিখে নিন পুষ্টি টিইউএসটিআই ডট বিবি বাংলাদেশ বেতার</v>
      </c>
      <c r="D18" s="2" t="str">
        <f>IFERROR(__xludf.DUMMYFUNCTION("""COMPUTED_VALUE"""),"Yes")</f>
        <v>Yes</v>
      </c>
      <c r="E18" s="2" t="str">
        <f>IFERROR(__xludf.DUMMYFUNCTION("""COMPUTED_VALUE"""),"Yes")</f>
        <v>Yes</v>
      </c>
      <c r="F18" s="2" t="str">
        <f>IFERROR(__xludf.DUMMYFUNCTION("""COMPUTED_VALUE"""),"Yes")</f>
        <v>Yes</v>
      </c>
      <c r="G18" s="2">
        <f>IFERROR(__xludf.DUMMYFUNCTION("""COMPUTED_VALUE"""),0.5)</f>
        <v>0.5</v>
      </c>
      <c r="H18" s="2">
        <f>IFERROR(__xludf.DUMMYFUNCTION("""COMPUTED_VALUE"""),0.5)</f>
        <v>0.5</v>
      </c>
      <c r="I18" s="2">
        <f>IFERROR(__xludf.DUMMYFUNCTION("""COMPUTED_VALUE"""),0.0)</f>
        <v>0</v>
      </c>
      <c r="J18" s="2">
        <f>IFERROR(__xludf.DUMMYFUNCTION("""COMPUTED_VALUE"""),0.0)</f>
        <v>0</v>
      </c>
      <c r="K18" s="2" t="str">
        <f>IFERROR(__xludf.DUMMYFUNCTION("""COMPUTED_VALUE"""),"5 – High-quality, Clean Bangla speech")</f>
        <v>5 – High-quality, Clean Bangla speech</v>
      </c>
      <c r="L18" s="2" t="str">
        <f>IFERROR(__xludf.DUMMYFUNCTION("""COMPUTED_VALUE"""),"Yes")</f>
        <v>Yes</v>
      </c>
    </row>
    <row r="19">
      <c r="A19" s="2" t="str">
        <f>IFERROR(__xludf.DUMMYFUNCTION("""COMPUTED_VALUE"""),"\collect\read\YouTube\TORONGO\_2X8LOMTO_Y\4b3da25a-2666-4103-9cc4-555ecb38a896.flac")</f>
        <v>\collect\read\YouTube\TORONGO\_2X8LOMTO_Y\4b3da25a-2666-4103-9cc4-555ecb38a896.flac</v>
      </c>
      <c r="B19" s="2">
        <f>IFERROR(__xludf.DUMMYFUNCTION("""COMPUTED_VALUE"""),30.0)</f>
        <v>30</v>
      </c>
      <c r="C19" s="2" t="str">
        <f>IFERROR(__xludf.DUMMYFUNCTION("""COMPUTED_VALUE"""),"এটা বিতরণ করা হবে বিতরণ বলতে যেটা বলা হচ্ছে খাওয়ানো হবে কার বাসা পৌঁছে দেয়া হবে না হাতে হাতে দেয়া হবে না এটা মনে রাখতে হবে তার বন্ধুরা তাহলে জানিয়ে দি আজকে যে কুজটি নিশ্চয় আপনার অপেক্ষা আছেন হাতে কাজে কাগজ কলম রেখেছেন কুইজ্টি লিখে নেবেন আপনারা আন ছটপট লিখ"&amp;"ে নিন আজকের কুইস্টি হচ্ছে আসন্ন ভিটামিন এ প্লাস ক্যাম্পেইন কত থেকে কত তারিখ পালিত হবে আবারও বলছি আসন্ন ভিটামিন প্লাস ক্যাম্পেইন কত থেকে")</f>
        <v>এটা বিতরণ করা হবে বিতরণ বলতে যেটা বলা হচ্ছে খাওয়ানো হবে কার বাসা পৌঁছে দেয়া হবে না হাতে হাতে দেয়া হবে না এটা মনে রাখতে হবে তার বন্ধুরা তাহলে জানিয়ে দি আজকে যে কুজটি নিশ্চয় আপনার অপেক্ষা আছেন হাতে কাজে কাগজ কলম রেখেছেন কুইজ্টি লিখে নেবেন আপনারা আন ছটপট লিখে নিন আজকের কুইস্টি হচ্ছে আসন্ন ভিটামিন এ প্লাস ক্যাম্পেইন কত থেকে কত তারিখ পালিত হবে আবারও বলছি আসন্ন ভিটামিন প্লাস ক্যাম্পেইন কত থেকে</v>
      </c>
      <c r="D19" s="2" t="str">
        <f>IFERROR(__xludf.DUMMYFUNCTION("""COMPUTED_VALUE"""),"Yes")</f>
        <v>Yes</v>
      </c>
      <c r="E19" s="2" t="str">
        <f>IFERROR(__xludf.DUMMYFUNCTION("""COMPUTED_VALUE"""),"Yes")</f>
        <v>Yes</v>
      </c>
      <c r="F19" s="2" t="str">
        <f>IFERROR(__xludf.DUMMYFUNCTION("""COMPUTED_VALUE"""),"Yes")</f>
        <v>Yes</v>
      </c>
      <c r="G19" s="2">
        <f>IFERROR(__xludf.DUMMYFUNCTION("""COMPUTED_VALUE"""),0.5)</f>
        <v>0.5</v>
      </c>
      <c r="H19" s="2">
        <f>IFERROR(__xludf.DUMMYFUNCTION("""COMPUTED_VALUE"""),0.5)</f>
        <v>0.5</v>
      </c>
      <c r="I19" s="2">
        <f>IFERROR(__xludf.DUMMYFUNCTION("""COMPUTED_VALUE"""),0.5)</f>
        <v>0.5</v>
      </c>
      <c r="J19" s="2">
        <f>IFERROR(__xludf.DUMMYFUNCTION("""COMPUTED_VALUE"""),0.5)</f>
        <v>0.5</v>
      </c>
      <c r="K19" s="2" t="str">
        <f>IFERROR(__xludf.DUMMYFUNCTION("""COMPUTED_VALUE"""),"5 – High-quality, Clean Bangla speech")</f>
        <v>5 – High-quality, Clean Bangla speech</v>
      </c>
      <c r="L19" s="2" t="str">
        <f>IFERROR(__xludf.DUMMYFUNCTION("""COMPUTED_VALUE"""),"Yes")</f>
        <v>Yes</v>
      </c>
    </row>
    <row r="20">
      <c r="A20" s="2" t="str">
        <f>IFERROR(__xludf.DUMMYFUNCTION("""COMPUTED_VALUE"""),"\collect\read\YouTube\TORONGO\_2X8LOMTO_Y\4b895ffb-6263-48f2-b659-c27f109bfc72.flac")</f>
        <v>\collect\read\YouTube\TORONGO\_2X8LOMTO_Y\4b895ffb-6263-48f2-b659-c27f109bfc72.flac</v>
      </c>
      <c r="B20" s="2">
        <f>IFERROR(__xludf.DUMMYFUNCTION("""COMPUTED_VALUE"""),30.0)</f>
        <v>30</v>
      </c>
      <c r="C20" s="2" t="str">
        <f>IFERROR(__xludf.DUMMYFUNCTION("""COMPUTED_VALUE"""),"আমরা েগুলোর মধ্যে আমরা এই প্রসঙ্গে যাব আমি প্রিয় শ্রোতা আসন্ন ভিটামিন এপ্লাস ক্যাম্পেইনের তারিখ জানানো হয়েছে জুন মাসের পাঁচ তারিখ থেকে উনিশ তারিখ পর্যন্ত অর্থাৎ পাঁচ থেকে উনিশে জুন জাতীয় ভিটামিন এ প্লাস ক্যাম্পেইন এবং এই তারিখে নানান আয়োজন রয়েছে প্রতিবছর "&amp;"উৎসব মুখর পরিবেশে ব্যবস্থা পরনা করা হয় তবে কোভিড এই সময়ে কিভাবে হবে বিশ্বটা সব তথ্য হাতের কাছে পেয়ে যাবেন আপনারা আমরা ধীরে ধীরে সব তথ্য")</f>
        <v>আমরা েগুলোর মধ্যে আমরা এই প্রসঙ্গে যাব আমি প্রিয় শ্রোতা আসন্ন ভিটামিন এপ্লাস ক্যাম্পেইনের তারিখ জানানো হয়েছে জুন মাসের পাঁচ তারিখ থেকে উনিশ তারিখ পর্যন্ত অর্থাৎ পাঁচ থেকে উনিশে জুন জাতীয় ভিটামিন এ প্লাস ক্যাম্পেইন এবং এই তারিখে নানান আয়োজন রয়েছে প্রতিবছর উৎসব মুখর পরিবেশে ব্যবস্থা পরনা করা হয় তবে কোভিড এই সময়ে কিভাবে হবে বিশ্বটা সব তথ্য হাতের কাছে পেয়ে যাবেন আপনারা আমরা ধীরে ধীরে সব তথ্য</v>
      </c>
      <c r="D20" s="2" t="str">
        <f>IFERROR(__xludf.DUMMYFUNCTION("""COMPUTED_VALUE"""),"Yes")</f>
        <v>Yes</v>
      </c>
      <c r="E20" s="2" t="str">
        <f>IFERROR(__xludf.DUMMYFUNCTION("""COMPUTED_VALUE"""),"No")</f>
        <v>No</v>
      </c>
      <c r="F20" s="2" t="str">
        <f>IFERROR(__xludf.DUMMYFUNCTION("""COMPUTED_VALUE"""),"Yes")</f>
        <v>Yes</v>
      </c>
      <c r="G20" s="2">
        <f>IFERROR(__xludf.DUMMYFUNCTION("""COMPUTED_VALUE"""),0.5)</f>
        <v>0.5</v>
      </c>
      <c r="H20" s="2">
        <f>IFERROR(__xludf.DUMMYFUNCTION("""COMPUTED_VALUE"""),1.0)</f>
        <v>1</v>
      </c>
      <c r="I20" s="2">
        <f>IFERROR(__xludf.DUMMYFUNCTION("""COMPUTED_VALUE"""),1.0)</f>
        <v>1</v>
      </c>
      <c r="J20" s="2">
        <f>IFERROR(__xludf.DUMMYFUNCTION("""COMPUTED_VALUE"""),0.5)</f>
        <v>0.5</v>
      </c>
      <c r="K20" s="2" t="str">
        <f>IFERROR(__xludf.DUMMYFUNCTION("""COMPUTED_VALUE"""),"5 – High-quality, Clean Bangla speech")</f>
        <v>5 – High-quality, Clean Bangla speech</v>
      </c>
      <c r="L20" s="2" t="str">
        <f>IFERROR(__xludf.DUMMYFUNCTION("""COMPUTED_VALUE"""),"No")</f>
        <v>No</v>
      </c>
    </row>
    <row r="21">
      <c r="A21" s="2" t="str">
        <f>IFERROR(__xludf.DUMMYFUNCTION("""COMPUTED_VALUE"""),"\collect\read\YouTube\TORONGO\_2X8LOMTO_Y\4ba38979-6fcb-43dd-8da4-39a6400e458b.flac")</f>
        <v>\collect\read\YouTube\TORONGO\_2X8LOMTO_Y\4ba38979-6fcb-43dd-8da4-39a6400e458b.flac</v>
      </c>
      <c r="B21" s="2">
        <f>IFERROR(__xludf.DUMMYFUNCTION("""COMPUTED_VALUE"""),30.0)</f>
        <v>30</v>
      </c>
      <c r="C21" s="2" t="str">
        <f>IFERROR(__xludf.DUMMYFUNCTION("""COMPUTED_VALUE"""),"একটা আলোচনা ফাঁকে পেয়ে যাবেন উত্তরটিও পেয়ে যাবেন আপনার হাতের কাছে কাগজ কালাম রাখবেন লিখবেন তখন এবং কুইজের উত্তরটি পাঠাবার কথা জানাবো কিভাবে পাঠাবেন শুরুতে আমরা আসি ভিটামিন এ প্রয়োজনীয়তা এটা জানা সব সময়ের জন্য দরকার আমরা যদি মনে করি বারবার শুনছি সব কথা কে "&amp;"মনে থাকে মনে থাকে না তবুও মমনে করিয়ে দিই শিশু গ্রেশ্বকামাদের সাথে আছেন ডাক্তার রিজনুল আহাসান পিপুল আপনার কাছে শুনতে চাই ধন্যবাদ ডক্টর ইাজু ভাই প্রতিবছরের মতো প্রতিবছর দুইবার গণপ্রজাতন্ত্রী বাংলা শ্র")</f>
        <v>একটা আলোচনা ফাঁকে পেয়ে যাবেন উত্তরটিও পেয়ে যাবেন আপনার হাতের কাছে কাগজ কালাম রাখবেন লিখবেন তখন এবং কুইজের উত্তরটি পাঠাবার কথা জানাবো কিভাবে পাঠাবেন শুরুতে আমরা আসি ভিটামিন এ প্রয়োজনীয়তা এটা জানা সব সময়ের জন্য দরকার আমরা যদি মনে করি বারবার শুনছি সব কথা কে মনে থাকে মনে থাকে না তবুও মমনে করিয়ে দিই শিশু গ্রেশ্বকামাদের সাথে আছেন ডাক্তার রিজনুল আহাসান পিপুল আপনার কাছে শুনতে চাই ধন্যবাদ ডক্টর ইাজু ভাই প্রতিবছরের মতো প্রতিবছর দুইবার গণপ্রজাতন্ত্রী বাংলা শ্র</v>
      </c>
      <c r="D21" s="2" t="str">
        <f>IFERROR(__xludf.DUMMYFUNCTION("""COMPUTED_VALUE"""),"Yes")</f>
        <v>Yes</v>
      </c>
      <c r="E21" s="2" t="str">
        <f>IFERROR(__xludf.DUMMYFUNCTION("""COMPUTED_VALUE"""),"No")</f>
        <v>No</v>
      </c>
      <c r="F21" s="2" t="str">
        <f>IFERROR(__xludf.DUMMYFUNCTION("""COMPUTED_VALUE"""),"Yes")</f>
        <v>Yes</v>
      </c>
      <c r="G21" s="2">
        <f>IFERROR(__xludf.DUMMYFUNCTION("""COMPUTED_VALUE"""),0.5)</f>
        <v>0.5</v>
      </c>
      <c r="H21" s="2">
        <f>IFERROR(__xludf.DUMMYFUNCTION("""COMPUTED_VALUE"""),0.5)</f>
        <v>0.5</v>
      </c>
      <c r="I21" s="2">
        <f>IFERROR(__xludf.DUMMYFUNCTION("""COMPUTED_VALUE"""),0.5)</f>
        <v>0.5</v>
      </c>
      <c r="J21" s="2">
        <f>IFERROR(__xludf.DUMMYFUNCTION("""COMPUTED_VALUE"""),0.0)</f>
        <v>0</v>
      </c>
      <c r="K21" s="2" t="str">
        <f>IFERROR(__xludf.DUMMYFUNCTION("""COMPUTED_VALUE"""),"5 – High-quality, Clean Bangla speech")</f>
        <v>5 – High-quality, Clean Bangla speech</v>
      </c>
      <c r="L21" s="2" t="str">
        <f>IFERROR(__xludf.DUMMYFUNCTION("""COMPUTED_VALUE"""),"No")</f>
        <v>No</v>
      </c>
    </row>
    <row r="22">
      <c r="A22" s="2" t="str">
        <f>IFERROR(__xludf.DUMMYFUNCTION("""COMPUTED_VALUE"""),"\collect\read\YouTube\TORONGO\_2X8LOMTO_Y\4f9bcbd2-8714-40bf-a4ce-8f6cad598eb9.flac")</f>
        <v>\collect\read\YouTube\TORONGO\_2X8LOMTO_Y\4f9bcbd2-8714-40bf-a4ce-8f6cad598eb9.flac</v>
      </c>
      <c r="B22" s="2">
        <f>IFERROR(__xludf.DUMMYFUNCTION("""COMPUTED_VALUE"""),30.0)</f>
        <v>30</v>
      </c>
      <c r="C22" s="2" t="str">
        <f>IFERROR(__xludf.DUMMYFUNCTION("""COMPUTED_VALUE"""),"অ্থাৎ বয়সভেদে একটা ব্যাপার আরেকটা হচ্ছে পরিমাণ অল্প বারবার দিন ঘন ঘন দিয়েন মানে আপনি একটা উঁচু একসঙ্গে দশটা কেন খাবে দুটো ধরে করে দেন এক ঘণ্টা পর আবার দুটো খাবে হজম করতে একটা সময় দিন এ কথা ভাবতে হবে ওষুধের কথা প্রথমে ভাবছেন কেন এটা আমাদের প্রশ্ন আপনার প্র"&amp;"তি দ্বিতীয় আরেকটা প্রশনে খোকন চন্দ্র প্রশ্ন করেছেন যে আম লিচু প্রচুর আপনাদের এখানে এলাকা পাওয়া যায় বাচ্চা তো না দিয়েই খোসা খুলতে শুরু করে দেয় খেতে শুরু করে দেয় তাহলে সেখান থেকে কোনো রোগ ছড়াবে কি না")</f>
        <v>অ্থাৎ বয়সভেদে একটা ব্যাপার আরেকটা হচ্ছে পরিমাণ অল্প বারবার দিন ঘন ঘন দিয়েন মানে আপনি একটা উঁচু একসঙ্গে দশটা কেন খাবে দুটো ধরে করে দেন এক ঘণ্টা পর আবার দুটো খাবে হজম করতে একটা সময় দিন এ কথা ভাবতে হবে ওষুধের কথা প্রথমে ভাবছেন কেন এটা আমাদের প্রশ্ন আপনার প্রতি দ্বিতীয় আরেকটা প্রশনে খোকন চন্দ্র প্রশ্ন করেছেন যে আম লিচু প্রচুর আপনাদের এখানে এলাকা পাওয়া যায় বাচ্চা তো না দিয়েই খোসা খুলতে শুরু করে দেয় খেতে শুরু করে দেয় তাহলে সেখান থেকে কোনো রোগ ছড়াবে কি না</v>
      </c>
      <c r="D22" s="2" t="str">
        <f>IFERROR(__xludf.DUMMYFUNCTION("""COMPUTED_VALUE"""),"Yes")</f>
        <v>Yes</v>
      </c>
      <c r="E22" s="2" t="str">
        <f>IFERROR(__xludf.DUMMYFUNCTION("""COMPUTED_VALUE"""),"No")</f>
        <v>No</v>
      </c>
      <c r="F22" s="2" t="str">
        <f>IFERROR(__xludf.DUMMYFUNCTION("""COMPUTED_VALUE"""),"Yes")</f>
        <v>Yes</v>
      </c>
      <c r="G22" s="2">
        <f>IFERROR(__xludf.DUMMYFUNCTION("""COMPUTED_VALUE"""),0.5)</f>
        <v>0.5</v>
      </c>
      <c r="H22" s="2">
        <f>IFERROR(__xludf.DUMMYFUNCTION("""COMPUTED_VALUE"""),0.5)</f>
        <v>0.5</v>
      </c>
      <c r="I22" s="2">
        <f>IFERROR(__xludf.DUMMYFUNCTION("""COMPUTED_VALUE"""),0.5)</f>
        <v>0.5</v>
      </c>
      <c r="J22" s="2">
        <f>IFERROR(__xludf.DUMMYFUNCTION("""COMPUTED_VALUE"""),0.0)</f>
        <v>0</v>
      </c>
      <c r="K22" s="2" t="str">
        <f>IFERROR(__xludf.DUMMYFUNCTION("""COMPUTED_VALUE"""),"5 – High-quality, Clean Bangla speech")</f>
        <v>5 – High-quality, Clean Bangla speech</v>
      </c>
      <c r="L22" s="2" t="str">
        <f>IFERROR(__xludf.DUMMYFUNCTION("""COMPUTED_VALUE"""),"No")</f>
        <v>No</v>
      </c>
    </row>
    <row r="23">
      <c r="A23" s="2" t="str">
        <f>IFERROR(__xludf.DUMMYFUNCTION("""COMPUTED_VALUE"""),"\collect\read\YouTube\TORONGO\_2X8LOMTO_Y\50817fed-9959-44d1-b9c9-a84b4db89e06.flac")</f>
        <v>\collect\read\YouTube\TORONGO\_2X8LOMTO_Y\50817fed-9959-44d1-b9c9-a84b4db89e06.flac</v>
      </c>
      <c r="B23" s="2">
        <f>IFERROR(__xludf.DUMMYFUNCTION("""COMPUTED_VALUE"""),30.0)</f>
        <v>30</v>
      </c>
      <c r="C23" s="2" t="str">
        <f>IFERROR(__xludf.DUMMYFUNCTION("""COMPUTED_VALUE"""),"ভিটামিন এ সাপ্লিমেন্টটা অবশ্যই গুরুত্বপূর্ণ যে কারণে যে কারণে ভিটামিন এএর অভাবে কিন্তু অনেক সময় ডায়েরিয়া বা ঠান্ডাকাশি বা জ্বর এগুলো কিন্তু বাচ্চাদের অনেক বাচ্চা দেখবেন দিে লেগেই থাকে সো এই যে ক্যাম্পেইনটা এটা যদি আমরা একদম নিয়ম করে চালু রাখতে পারি তাহলে "&amp;"কিন্তু অনেক বাচ্চাদের যেটা কর্মক্ষমক্ষমতা সেটা বজায় থাকে এবং বড়রা তো তাদের খাবারটাা পছন্দ করেবিপুল আপনি শিশুর বিশেষজ্ঞ ঢাকা শিশু হাসপাতালে কর্মরত আছেন আপনি সহকারী অধ্যাপক")</f>
        <v>ভিটামিন এ সাপ্লিমেন্টটা অবশ্যই গুরুত্বপূর্ণ যে কারণে যে কারণে ভিটামিন এএর অভাবে কিন্তু অনেক সময় ডায়েরিয়া বা ঠান্ডাকাশি বা জ্বর এগুলো কিন্তু বাচ্চাদের অনেক বাচ্চা দেখবেন দিে লেগেই থাকে সো এই যে ক্যাম্পেইনটা এটা যদি আমরা একদম নিয়ম করে চালু রাখতে পারি তাহলে কিন্তু অনেক বাচ্চাদের যেটা কর্মক্ষমক্ষমতা সেটা বজায় থাকে এবং বড়রা তো তাদের খাবারটাা পছন্দ করেবিপুল আপনি শিশুর বিশেষজ্ঞ ঢাকা শিশু হাসপাতালে কর্মরত আছেন আপনি সহকারী অধ্যাপক</v>
      </c>
      <c r="D23" s="2" t="str">
        <f>IFERROR(__xludf.DUMMYFUNCTION("""COMPUTED_VALUE"""),"Yes")</f>
        <v>Yes</v>
      </c>
      <c r="E23" s="2" t="str">
        <f>IFERROR(__xludf.DUMMYFUNCTION("""COMPUTED_VALUE"""),"Yes")</f>
        <v>Yes</v>
      </c>
      <c r="F23" s="2" t="str">
        <f>IFERROR(__xludf.DUMMYFUNCTION("""COMPUTED_VALUE"""),"Yes")</f>
        <v>Yes</v>
      </c>
      <c r="G23" s="2">
        <f>IFERROR(__xludf.DUMMYFUNCTION("""COMPUTED_VALUE"""),0.5)</f>
        <v>0.5</v>
      </c>
      <c r="H23" s="2">
        <f>IFERROR(__xludf.DUMMYFUNCTION("""COMPUTED_VALUE"""),0.5)</f>
        <v>0.5</v>
      </c>
      <c r="I23" s="2">
        <f>IFERROR(__xludf.DUMMYFUNCTION("""COMPUTED_VALUE"""),0.5)</f>
        <v>0.5</v>
      </c>
      <c r="J23" s="2">
        <f>IFERROR(__xludf.DUMMYFUNCTION("""COMPUTED_VALUE"""),0.0)</f>
        <v>0</v>
      </c>
      <c r="K23" s="2" t="str">
        <f>IFERROR(__xludf.DUMMYFUNCTION("""COMPUTED_VALUE"""),"5 – High-quality, Clean Bangla speech")</f>
        <v>5 – High-quality, Clean Bangla speech</v>
      </c>
      <c r="L23" s="2" t="str">
        <f>IFERROR(__xludf.DUMMYFUNCTION("""COMPUTED_VALUE"""),"No")</f>
        <v>No</v>
      </c>
    </row>
    <row r="24">
      <c r="A24" s="2" t="str">
        <f>IFERROR(__xludf.DUMMYFUNCTION("""COMPUTED_VALUE"""),"\collect\read\YouTube\TORONGO\_2X8LOMTO_Y\53bdec18-df22-4fde-801e-7f69d5249980.flac")</f>
        <v>\collect\read\YouTube\TORONGO\_2X8LOMTO_Y\53bdec18-df22-4fde-801e-7f69d5249980.flac</v>
      </c>
      <c r="B24" s="2">
        <f>IFERROR(__xludf.DUMMYFUNCTION("""COMPUTED_VALUE"""),30.0)</f>
        <v>30</v>
      </c>
      <c r="C24" s="2" t="str">
        <f>IFERROR(__xludf.DUMMYFUNCTION("""COMPUTED_VALUE"""),"কর্মী ও তারা তৈরি করে রেখেছেন এবং এই ভিটামিন এই প্লাস ক্যাম্পেনিংয়ের মাধ্যমে আসলে আমরা বার্তাতে পৌঁছে দিতে চাই যে ভিটামিন এইজনিত কারণে যাতে আমাদের কোনো শিশু অপুষ্টিত না ভোগে এবং ভিটামিন এ এটা কোথায় কোথায় পাওয়া যায় যেমন উদ্ভিজ্জ উৎস প্রাণীজ উৎস এগুলো কিন্ত"&amp;"ু আছে টগুলাক নিয়ে এই যে উদ্ভিজ্জ উৎসর মধ্যে যেমন সবুজ শাক সবজি রঙিন ফলমূলের কথা আমরা এতক্ষণ আলোচনা করলাম আবার প্রাণিজ উৎসের মধ্যে আমরা যেমন মাছ মাংস ডিম গুত গুলাতে কিন্তু প্রচুর পরিমাণে ভিটামিন এ")</f>
        <v>কর্মী ও তারা তৈরি করে রেখেছেন এবং এই ভিটামিন এই প্লাস ক্যাম্পেনিংয়ের মাধ্যমে আসলে আমরা বার্তাতে পৌঁছে দিতে চাই যে ভিটামিন এইজনিত কারণে যাতে আমাদের কোনো শিশু অপুষ্টিত না ভোগে এবং ভিটামিন এ এটা কোথায় কোথায় পাওয়া যায় যেমন উদ্ভিজ্জ উৎস প্রাণীজ উৎস এগুলো কিন্তু আছে টগুলাক নিয়ে এই যে উদ্ভিজ্জ উৎসর মধ্যে যেমন সবুজ শাক সবজি রঙিন ফলমূলের কথা আমরা এতক্ষণ আলোচনা করলাম আবার প্রাণিজ উৎসের মধ্যে আমরা যেমন মাছ মাংস ডিম গুত গুলাতে কিন্তু প্রচুর পরিমাণে ভিটামিন এ</v>
      </c>
      <c r="D24" s="2" t="str">
        <f>IFERROR(__xludf.DUMMYFUNCTION("""COMPUTED_VALUE"""),"Yes")</f>
        <v>Yes</v>
      </c>
      <c r="E24" s="2" t="str">
        <f>IFERROR(__xludf.DUMMYFUNCTION("""COMPUTED_VALUE"""),"No")</f>
        <v>No</v>
      </c>
      <c r="F24" s="2" t="str">
        <f>IFERROR(__xludf.DUMMYFUNCTION("""COMPUTED_VALUE"""),"No")</f>
        <v>No</v>
      </c>
      <c r="G24" s="2">
        <f>IFERROR(__xludf.DUMMYFUNCTION("""COMPUTED_VALUE"""),0.5)</f>
        <v>0.5</v>
      </c>
      <c r="H24" s="2">
        <f>IFERROR(__xludf.DUMMYFUNCTION("""COMPUTED_VALUE"""),1.0)</f>
        <v>1</v>
      </c>
      <c r="I24" s="2">
        <f>IFERROR(__xludf.DUMMYFUNCTION("""COMPUTED_VALUE"""),1.0)</f>
        <v>1</v>
      </c>
      <c r="J24" s="2">
        <f>IFERROR(__xludf.DUMMYFUNCTION("""COMPUTED_VALUE"""),0.5)</f>
        <v>0.5</v>
      </c>
      <c r="K24" s="2" t="str">
        <f>IFERROR(__xludf.DUMMYFUNCTION("""COMPUTED_VALUE"""),"5 – High-quality, Clean Bangla speech")</f>
        <v>5 – High-quality, Clean Bangla speech</v>
      </c>
      <c r="L24" s="2" t="str">
        <f>IFERROR(__xludf.DUMMYFUNCTION("""COMPUTED_VALUE"""),"No")</f>
        <v>No</v>
      </c>
    </row>
    <row r="25">
      <c r="A25" s="2" t="str">
        <f>IFERROR(__xludf.DUMMYFUNCTION("""COMPUTED_VALUE"""),"\collect\read\YouTube\TORONGO\_2X8LOMTO_Y\56b220e6-959c-44e6-81a8-10a406d4e13f.flac")</f>
        <v>\collect\read\YouTube\TORONGO\_2X8LOMTO_Y\56b220e6-959c-44e6-81a8-10a406d4e13f.flac</v>
      </c>
      <c r="B25" s="2">
        <f>IFERROR(__xludf.DUMMYFUNCTION("""COMPUTED_VALUE"""),30.0)</f>
        <v>30</v>
      </c>
      <c r="C25" s="2" t="str">
        <f>IFERROR(__xludf.DUMMYFUNCTION("""COMPUTED_VALUE"""),"যাহত্তম অন্যান্য রোগে আক্রান্ত হচ্ছে ডায়রিয়া রিসিন্ট্রি যেগুলো কিন্তু এখন দেখা যাচ্ছে সাথে হচ্ছে আমাদের কিন্তু জ্বর চলে আসছি যে গরমের মধ্যে প্রচণ্ড গরমের মধ্যে আমরা ঠান্ডা বাচ্চাকে খাওয়াচ্ছে বা নিজের কাছে আমাদের প্রচণ্ড গলা ব্যাথা হয় যেটা আমরা ফেরেন জাইটি"&amp;" ফেরিন চাইটিস বোলিং এবং এ ফেরিন জাইটিস থেকেও কিন্তু আপনার জর টপ চলে আসে সুতরাং এগুলো এখন একটু মানে অ্পোয়েড করা উচিত এবং আমি আশা করব যদি দীপকদার মতো যারা সচেতন আছেন তারা সবাই একি কাজ ধন্যবা চমৎকার বলেছেন এই আইসক্রিমটা কি কি দিয়ে তৈরি হচ্ছে এ প্রস্তুত প্রোণ"&amp;"াইলটা কেমন")</f>
        <v>যাহত্তম অন্যান্য রোগে আক্রান্ত হচ্ছে ডায়রিয়া রিসিন্ট্রি যেগুলো কিন্তু এখন দেখা যাচ্ছে সাথে হচ্ছে আমাদের কিন্তু জ্বর চলে আসছি যে গরমের মধ্যে প্রচণ্ড গরমের মধ্যে আমরা ঠান্ডা বাচ্চাকে খাওয়াচ্ছে বা নিজের কাছে আমাদের প্রচণ্ড গলা ব্যাথা হয় যেটা আমরা ফেরেন জাইটি ফেরিন চাইটিস বোলিং এবং এ ফেরিন জাইটিস থেকেও কিন্তু আপনার জর টপ চলে আসে সুতরাং এগুলো এখন একটু মানে অ্পোয়েড করা উচিত এবং আমি আশা করব যদি দীপকদার মতো যারা সচেতন আছেন তারা সবাই একি কাজ ধন্যবা চমৎকার বলেছেন এই আইসক্রিমটা কি কি দিয়ে তৈরি হচ্ছে এ প্রস্তুত প্রোণাইলটা কেমন</v>
      </c>
      <c r="D25" s="2" t="str">
        <f>IFERROR(__xludf.DUMMYFUNCTION("""COMPUTED_VALUE"""),"Yes")</f>
        <v>Yes</v>
      </c>
      <c r="E25" s="2" t="str">
        <f>IFERROR(__xludf.DUMMYFUNCTION("""COMPUTED_VALUE"""),"Yes")</f>
        <v>Yes</v>
      </c>
      <c r="F25" s="2" t="str">
        <f>IFERROR(__xludf.DUMMYFUNCTION("""COMPUTED_VALUE"""),"Yes")</f>
        <v>Yes</v>
      </c>
      <c r="G25" s="2">
        <f>IFERROR(__xludf.DUMMYFUNCTION("""COMPUTED_VALUE"""),0.0)</f>
        <v>0</v>
      </c>
      <c r="H25" s="2">
        <f>IFERROR(__xludf.DUMMYFUNCTION("""COMPUTED_VALUE"""),0.5)</f>
        <v>0.5</v>
      </c>
      <c r="I25" s="2">
        <f>IFERROR(__xludf.DUMMYFUNCTION("""COMPUTED_VALUE"""),0.5)</f>
        <v>0.5</v>
      </c>
      <c r="J25" s="2">
        <f>IFERROR(__xludf.DUMMYFUNCTION("""COMPUTED_VALUE"""),0.0)</f>
        <v>0</v>
      </c>
      <c r="K25" s="2" t="str">
        <f>IFERROR(__xludf.DUMMYFUNCTION("""COMPUTED_VALUE"""),"5 – High-quality, Clean Bangla speech")</f>
        <v>5 – High-quality, Clean Bangla speech</v>
      </c>
      <c r="L25" s="2" t="str">
        <f>IFERROR(__xludf.DUMMYFUNCTION("""COMPUTED_VALUE"""),"Yes")</f>
        <v>Yes</v>
      </c>
    </row>
    <row r="26">
      <c r="A26" s="2" t="str">
        <f>IFERROR(__xludf.DUMMYFUNCTION("""COMPUTED_VALUE"""),"\collect\read\YouTube\TORONGO\_2X8LOMTO_Y\57f484ca-0474-4a49-a517-5bb1d8f71f92.flac")</f>
        <v>\collect\read\YouTube\TORONGO\_2X8LOMTO_Y\57f484ca-0474-4a49-a517-5bb1d8f71f92.flac</v>
      </c>
      <c r="B26" s="2">
        <f>IFERROR(__xludf.DUMMYFUNCTION("""COMPUTED_VALUE"""),30.0)</f>
        <v>30</v>
      </c>
      <c r="C26" s="2" t="str">
        <f>IFERROR(__xludf.DUMMYFUNCTION("""COMPUTED_VALUE"""),"সময় থেকেই প্রকারয়েটা শুরু হয়েছে এবং এই যে বিরেটামিন এই এটার অব অভাবে কিন্তু আমাদের শুধু রাতকানা রোগ না আমাদের কিন্তু এক্সটা ও খুলার আমরা বলি যে শারীরিক অোনোনু সমস্যা যেমন একটা শিশুর সাভীরিক এবং মানসিক বৃদ্ধি কমিয়ে দেয় ভিটামিন ও হক সাথে হচ্ছে আমাদের যে ডায়"&amp;"েরিয়া বা হাম যেগুলো হয় সেগুলো কিন্তু বাড়ি দে সেগুলো সম্ভাবনা সেজন্য আমরা যখন ভিটামিনে সাপ্লিমেনটা দিব তাহলে কিন্তু আপনাদেরকে বেশ কয়েকটা রোগ থেকে আমরা")</f>
        <v>সময় থেকেই প্রকারয়েটা শুরু হয়েছে এবং এই যে বিরেটামিন এই এটার অব অভাবে কিন্তু আমাদের শুধু রাতকানা রোগ না আমাদের কিন্তু এক্সটা ও খুলার আমরা বলি যে শারীরিক অোনোনু সমস্যা যেমন একটা শিশুর সাভীরিক এবং মানসিক বৃদ্ধি কমিয়ে দেয় ভিটামিন ও হক সাথে হচ্ছে আমাদের যে ডায়েরিয়া বা হাম যেগুলো হয় সেগুলো কিন্তু বাড়ি দে সেগুলো সম্ভাবনা সেজন্য আমরা যখন ভিটামিনে সাপ্লিমেনটা দিব তাহলে কিন্তু আপনাদেরকে বেশ কয়েকটা রোগ থেকে আমরা</v>
      </c>
      <c r="D26" s="2" t="str">
        <f>IFERROR(__xludf.DUMMYFUNCTION("""COMPUTED_VALUE"""),"Yes")</f>
        <v>Yes</v>
      </c>
      <c r="E26" s="2" t="str">
        <f>IFERROR(__xludf.DUMMYFUNCTION("""COMPUTED_VALUE"""),"No")</f>
        <v>No</v>
      </c>
      <c r="F26" s="2" t="str">
        <f>IFERROR(__xludf.DUMMYFUNCTION("""COMPUTED_VALUE"""),"Yes")</f>
        <v>Yes</v>
      </c>
      <c r="G26" s="2">
        <f>IFERROR(__xludf.DUMMYFUNCTION("""COMPUTED_VALUE"""),0.5)</f>
        <v>0.5</v>
      </c>
      <c r="H26" s="2">
        <f>IFERROR(__xludf.DUMMYFUNCTION("""COMPUTED_VALUE"""),0.5)</f>
        <v>0.5</v>
      </c>
      <c r="I26" s="2">
        <f>IFERROR(__xludf.DUMMYFUNCTION("""COMPUTED_VALUE"""),0.5)</f>
        <v>0.5</v>
      </c>
      <c r="J26" s="2">
        <f>IFERROR(__xludf.DUMMYFUNCTION("""COMPUTED_VALUE"""),0.5)</f>
        <v>0.5</v>
      </c>
      <c r="K26" s="2" t="str">
        <f>IFERROR(__xludf.DUMMYFUNCTION("""COMPUTED_VALUE"""),"5 – High-quality, Clean Bangla speech")</f>
        <v>5 – High-quality, Clean Bangla speech</v>
      </c>
      <c r="L26" s="2" t="str">
        <f>IFERROR(__xludf.DUMMYFUNCTION("""COMPUTED_VALUE"""),"Yes")</f>
        <v>Yes</v>
      </c>
    </row>
    <row r="27">
      <c r="A27" s="2" t="str">
        <f>IFERROR(__xludf.DUMMYFUNCTION("""COMPUTED_VALUE"""),"\collect\read\YouTube\TORONGO\_2X8LOMTO_Y\5dbebe89-b1be-46dd-aaf9-6a0f85594970.flac")</f>
        <v>\collect\read\YouTube\TORONGO\_2X8LOMTO_Y\5dbebe89-b1be-46dd-aaf9-6a0f85594970.flac</v>
      </c>
      <c r="B27" s="2">
        <f>IFERROR(__xludf.DUMMYFUNCTION("""COMPUTED_VALUE"""),30.0)</f>
        <v>30</v>
      </c>
      <c r="C27" s="2" t="str">
        <f>IFERROR(__xludf.DUMMYFUNCTION("""COMPUTED_VALUE"""),"বাচ্চাকে বুকের দুধ খাওয়ানো সজ দুর্যেটা আমরা বলি ছয় মাস পর্যন্ত পরিপূর্ণরূপে বুকে দুধ খাওয়ানো ছয় মাসের পর থেকে বুকে দুধের পাশাপাশি বাসায় তৈরি করা হাড়ের খাবার খাওয়ানাও এবং দুই বছর পর্যন্ত বুকে দুধ খাওয়ানো এই যে বার্তা এই বার্তা এবং ভিটামিন এটার সাথে আমি বাচ"&amp;"্চাকে খাইয়ে দিলাম এই দুটাকে সম্মিলিতভাবে আমরা প্রোগ্রামটার নামই হচ্ছে ভিটামিন এপ্লাস সমৎকার বলেছেন দেখুন যখন বাচ্চাদের ভিটামিন এ খাওয়ানো হচ্ছে ড্রপটি খাওয়ানো হচ্ছে তখন খাওয়ানা কাজ চলছে আর যারা স")</f>
        <v>বাচ্চাকে বুকের দুধ খাওয়ানো সজ দুর্যেটা আমরা বলি ছয় মাস পর্যন্ত পরিপূর্ণরূপে বুকে দুধ খাওয়ানো ছয় মাসের পর থেকে বুকে দুধের পাশাপাশি বাসায় তৈরি করা হাড়ের খাবার খাওয়ানাও এবং দুই বছর পর্যন্ত বুকে দুধ খাওয়ানো এই যে বার্তা এই বার্তা এবং ভিটামিন এটার সাথে আমি বাচ্চাকে খাইয়ে দিলাম এই দুটাকে সম্মিলিতভাবে আমরা প্রোগ্রামটার নামই হচ্ছে ভিটামিন এপ্লাস সমৎকার বলেছেন দেখুন যখন বাচ্চাদের ভিটামিন এ খাওয়ানো হচ্ছে ড্রপটি খাওয়ানো হচ্ছে তখন খাওয়ানা কাজ চলছে আর যারা স</v>
      </c>
      <c r="D27" s="2" t="str">
        <f>IFERROR(__xludf.DUMMYFUNCTION("""COMPUTED_VALUE"""),"Yes")</f>
        <v>Yes</v>
      </c>
      <c r="E27" s="2" t="str">
        <f>IFERROR(__xludf.DUMMYFUNCTION("""COMPUTED_VALUE"""),"No")</f>
        <v>No</v>
      </c>
      <c r="F27" s="2" t="str">
        <f>IFERROR(__xludf.DUMMYFUNCTION("""COMPUTED_VALUE"""),"Yes")</f>
        <v>Yes</v>
      </c>
      <c r="G27" s="2">
        <f>IFERROR(__xludf.DUMMYFUNCTION("""COMPUTED_VALUE"""),0.5)</f>
        <v>0.5</v>
      </c>
      <c r="H27" s="2">
        <f>IFERROR(__xludf.DUMMYFUNCTION("""COMPUTED_VALUE"""),0.5)</f>
        <v>0.5</v>
      </c>
      <c r="I27" s="2">
        <f>IFERROR(__xludf.DUMMYFUNCTION("""COMPUTED_VALUE"""),0.5)</f>
        <v>0.5</v>
      </c>
      <c r="J27" s="2">
        <f>IFERROR(__xludf.DUMMYFUNCTION("""COMPUTED_VALUE"""),0.0)</f>
        <v>0</v>
      </c>
      <c r="K27" s="2" t="str">
        <f>IFERROR(__xludf.DUMMYFUNCTION("""COMPUTED_VALUE"""),"4– Usable, minor flaws Minor background noise.")</f>
        <v>4– Usable, minor flaws Minor background noise.</v>
      </c>
      <c r="L27" s="2" t="str">
        <f>IFERROR(__xludf.DUMMYFUNCTION("""COMPUTED_VALUE"""),"No")</f>
        <v>No</v>
      </c>
    </row>
    <row r="28">
      <c r="A28" s="2" t="str">
        <f>IFERROR(__xludf.DUMMYFUNCTION("""COMPUTED_VALUE"""),"\collect\read\YouTube\TORONGO\_2X8LOMTO_Y\6059c174-16ad-4589-88ae-425fbc129a6d.flac")</f>
        <v>\collect\read\YouTube\TORONGO\_2X8LOMTO_Y\6059c174-16ad-4589-88ae-425fbc129a6d.flac</v>
      </c>
      <c r="B28" s="2">
        <f>IFERROR(__xludf.DUMMYFUNCTION("""COMPUTED_VALUE"""),30.0)</f>
        <v>30</v>
      </c>
      <c r="C28" s="2" t="str">
        <f>IFERROR(__xludf.DUMMYFUNCTION("""COMPUTED_VALUE"""),"থেকে এক বছর বছর বয়স হ বাচ্চাদেরকে খাওয়ানো হয় এবং লাল ক্যাপসুলের ব্যাপার যেটা বলেছে যে তাতে দুই লাখ ইউনিট আছে সেটাতে সুন্দর করে কাছে দিয়ে কেটে আমাদের রসটা পুরোপুরি ভিতরে যে তরলটা আছে সেটা আমরা খাইয়ে দেই এবং এখানে দুই লাখ ইউনিট এবং এটাই হচ্ছে নিয়ম এবং এখানে"&amp;" কিন্তু স্বাস্থ্যবিধি মেনেই সবকিছু করা হচ্ছে সো আপনি কখনোই চেষ্টা করবেন না যে বাসায় নিয়ে গিয়ে আপনার বাচ্চাকে খাওয়াতে ধন্যবাদ পাশাপাশি এই কেন্দ্রগুলো আমরা চিনবো কি করে কিন্তু কোথায় কোথা দেয়া হচ্ছে আমরা তো অন্যান্য বছর")</f>
        <v>থেকে এক বছর বছর বয়স হ বাচ্চাদেরকে খাওয়ানো হয় এবং লাল ক্যাপসুলের ব্যাপার যেটা বলেছে যে তাতে দুই লাখ ইউনিট আছে সেটাতে সুন্দর করে কাছে দিয়ে কেটে আমাদের রসটা পুরোপুরি ভিতরে যে তরলটা আছে সেটা আমরা খাইয়ে দেই এবং এখানে দুই লাখ ইউনিট এবং এটাই হচ্ছে নিয়ম এবং এখানে কিন্তু স্বাস্থ্যবিধি মেনেই সবকিছু করা হচ্ছে সো আপনি কখনোই চেষ্টা করবেন না যে বাসায় নিয়ে গিয়ে আপনার বাচ্চাকে খাওয়াতে ধন্যবাদ পাশাপাশি এই কেন্দ্রগুলো আমরা চিনবো কি করে কিন্তু কোথায় কোথা দেয়া হচ্ছে আমরা তো অন্যান্য বছর</v>
      </c>
      <c r="D28" s="2" t="str">
        <f>IFERROR(__xludf.DUMMYFUNCTION("""COMPUTED_VALUE"""),"Yes")</f>
        <v>Yes</v>
      </c>
      <c r="E28" s="2" t="str">
        <f>IFERROR(__xludf.DUMMYFUNCTION("""COMPUTED_VALUE"""),"No")</f>
        <v>No</v>
      </c>
      <c r="F28" s="2" t="str">
        <f>IFERROR(__xludf.DUMMYFUNCTION("""COMPUTED_VALUE"""),"No")</f>
        <v>No</v>
      </c>
      <c r="G28" s="2">
        <f>IFERROR(__xludf.DUMMYFUNCTION("""COMPUTED_VALUE"""),1.0)</f>
        <v>1</v>
      </c>
      <c r="H28" s="2">
        <f>IFERROR(__xludf.DUMMYFUNCTION("""COMPUTED_VALUE"""),0.5)</f>
        <v>0.5</v>
      </c>
      <c r="I28" s="2">
        <f>IFERROR(__xludf.DUMMYFUNCTION("""COMPUTED_VALUE"""),1.0)</f>
        <v>1</v>
      </c>
      <c r="J28" s="2">
        <f>IFERROR(__xludf.DUMMYFUNCTION("""COMPUTED_VALUE"""),0.5)</f>
        <v>0.5</v>
      </c>
      <c r="K28" s="2" t="str">
        <f>IFERROR(__xludf.DUMMYFUNCTION("""COMPUTED_VALUE"""),"5 – High-quality, Clean Bangla speech")</f>
        <v>5 – High-quality, Clean Bangla speech</v>
      </c>
      <c r="L28" s="2" t="str">
        <f>IFERROR(__xludf.DUMMYFUNCTION("""COMPUTED_VALUE"""),"No")</f>
        <v>No</v>
      </c>
    </row>
    <row r="29">
      <c r="A29" s="2" t="str">
        <f>IFERROR(__xludf.DUMMYFUNCTION("""COMPUTED_VALUE"""),"\collect\read\YouTube\TORONGO\_2X8LOMTO_Y\60f6ac37-d985-4973-adcb-2bf01b450999.flac")</f>
        <v>\collect\read\YouTube\TORONGO\_2X8LOMTO_Y\60f6ac37-d985-4973-adcb-2bf01b450999.flac</v>
      </c>
      <c r="B29" s="2">
        <f>IFERROR(__xludf.DUMMYFUNCTION("""COMPUTED_VALUE"""),30.0)</f>
        <v>30</v>
      </c>
      <c r="C29" s="2" t="str">
        <f>IFERROR(__xludf.DUMMYFUNCTION("""COMPUTED_VALUE"""),"তিনি খেতেই পারছেন না তাকে সাক্ষা হতে চাচ্ছে তিনি বমি করে ফেলে দিচ্ছেন সে ক্ষেত্রে চিকিৎসকরা প্রয়োজনীয়তা মনে করলে চিকিৎসার প্রয়োজনে সে ভিটামিনগুলো দেয়া হয়ে থাকে এবং ডাক্তার প্রেসক্রিপশন লিখে থাকেন প্রয়োজন অনুপাদে কিন্তু আমরা সবসময় চেষ্টা করব প্রকৃতির উপর ন"&amp;"ির্ভরশীল হতে শাক সবজি মাছ মাংস ডিম বর্তমানে প্রচুর ফলমূল বাজারে পাওয়া যায় ধন্যবাদ নিচ্ছি ফোন করলো আসসালামু আলাইকুম ওয়ালাইকুম সালাম পরিচয় দিন")</f>
        <v>তিনি খেতেই পারছেন না তাকে সাক্ষা হতে চাচ্ছে তিনি বমি করে ফেলে দিচ্ছেন সে ক্ষেত্রে চিকিৎসকরা প্রয়োজনীয়তা মনে করলে চিকিৎসার প্রয়োজনে সে ভিটামিনগুলো দেয়া হয়ে থাকে এবং ডাক্তার প্রেসক্রিপশন লিখে থাকেন প্রয়োজন অনুপাদে কিন্তু আমরা সবসময় চেষ্টা করব প্রকৃতির উপর নির্ভরশীল হতে শাক সবজি মাছ মাংস ডিম বর্তমানে প্রচুর ফলমূল বাজারে পাওয়া যায় ধন্যবাদ নিচ্ছি ফোন করলো আসসালামু আলাইকুম ওয়ালাইকুম সালাম পরিচয় দিন</v>
      </c>
      <c r="D29" s="2" t="str">
        <f>IFERROR(__xludf.DUMMYFUNCTION("""COMPUTED_VALUE"""),"Yes")</f>
        <v>Yes</v>
      </c>
      <c r="E29" s="2" t="str">
        <f>IFERROR(__xludf.DUMMYFUNCTION("""COMPUTED_VALUE"""),"No")</f>
        <v>No</v>
      </c>
      <c r="F29" s="2" t="str">
        <f>IFERROR(__xludf.DUMMYFUNCTION("""COMPUTED_VALUE"""),"Yes")</f>
        <v>Yes</v>
      </c>
      <c r="G29" s="2">
        <f>IFERROR(__xludf.DUMMYFUNCTION("""COMPUTED_VALUE"""),0.5)</f>
        <v>0.5</v>
      </c>
      <c r="H29" s="2">
        <f>IFERROR(__xludf.DUMMYFUNCTION("""COMPUTED_VALUE"""),0.5)</f>
        <v>0.5</v>
      </c>
      <c r="I29" s="2">
        <f>IFERROR(__xludf.DUMMYFUNCTION("""COMPUTED_VALUE"""),0.5)</f>
        <v>0.5</v>
      </c>
      <c r="J29" s="2">
        <f>IFERROR(__xludf.DUMMYFUNCTION("""COMPUTED_VALUE"""),0.5)</f>
        <v>0.5</v>
      </c>
      <c r="K29" s="2" t="str">
        <f>IFERROR(__xludf.DUMMYFUNCTION("""COMPUTED_VALUE"""),"5 – High-quality, Clean Bangla speech")</f>
        <v>5 – High-quality, Clean Bangla speech</v>
      </c>
      <c r="L29" s="2" t="str">
        <f>IFERROR(__xludf.DUMMYFUNCTION("""COMPUTED_VALUE"""),"No")</f>
        <v>No</v>
      </c>
    </row>
    <row r="30">
      <c r="A30" s="2" t="str">
        <f>IFERROR(__xludf.DUMMYFUNCTION("""COMPUTED_VALUE"""),"\collect\read\YouTube\TORONGO\_2X8LOMTO_Y\6123f5a5-d4a3-40cc-99c3-d6e84189be01.flac")</f>
        <v>\collect\read\YouTube\TORONGO\_2X8LOMTO_Y\6123f5a5-d4a3-40cc-99c3-d6e84189be01.flac</v>
      </c>
      <c r="B30" s="2">
        <f>IFERROR(__xludf.DUMMYFUNCTION("""COMPUTED_VALUE"""),30.0)</f>
        <v>30</v>
      </c>
      <c r="C30" s="2" t="str">
        <f>IFERROR(__xludf.DUMMYFUNCTION("""COMPUTED_VALUE"""),"ঘাঁটতি ঘটে তার মধ্যে ভিটামিন এ একটা অন্যতম কারণ এই ভিটামিন এ প্লাস ক্যাম্পেনিং এর মাধ্যমে আমরা কিছু বার্তাও বা আবশ সবাইকে দিতে থাকে যে এই এ প্লাস মানে কি এপ্লাস মানে হচ্ছে আমাদের এই যে ছয় মাস পর্যন্ত পরিপূর্ণরূপে বুকে দুধ খাওয়ানো জন্মের সাথে সাথে বুকে দুধ"&amp;" খাওয়ানো তারপর ছয় মাসের পর থেকে বুকে দুধের পাশাপাশি বোর বাসায় তৈরি করা হাড়ের খাবার খাওয়ানো এবং দুই বছর পর্যন্ত টানা বুকে দুধ খাওয়ানো সাথে হচ্ছে পারিবারিক খাবারের গুরুত্ব টান এবং এই যে")</f>
        <v>ঘাঁটতি ঘটে তার মধ্যে ভিটামিন এ একটা অন্যতম কারণ এই ভিটামিন এ প্লাস ক্যাম্পেনিং এর মাধ্যমে আমরা কিছু বার্তাও বা আবশ সবাইকে দিতে থাকে যে এই এ প্লাস মানে কি এপ্লাস মানে হচ্ছে আমাদের এই যে ছয় মাস পর্যন্ত পরিপূর্ণরূপে বুকে দুধ খাওয়ানো জন্মের সাথে সাথে বুকে দুধ খাওয়ানো তারপর ছয় মাসের পর থেকে বুকে দুধের পাশাপাশি বোর বাসায় তৈরি করা হাড়ের খাবার খাওয়ানো এবং দুই বছর পর্যন্ত টানা বুকে দুধ খাওয়ানো সাথে হচ্ছে পারিবারিক খাবারের গুরুত্ব টান এবং এই যে</v>
      </c>
      <c r="D30" s="2" t="str">
        <f>IFERROR(__xludf.DUMMYFUNCTION("""COMPUTED_VALUE"""),"Yes")</f>
        <v>Yes</v>
      </c>
      <c r="E30" s="2" t="str">
        <f>IFERROR(__xludf.DUMMYFUNCTION("""COMPUTED_VALUE"""),"No")</f>
        <v>No</v>
      </c>
      <c r="F30" s="2" t="str">
        <f>IFERROR(__xludf.DUMMYFUNCTION("""COMPUTED_VALUE"""),"Yes")</f>
        <v>Yes</v>
      </c>
      <c r="G30" s="2">
        <f>IFERROR(__xludf.DUMMYFUNCTION("""COMPUTED_VALUE"""),0.5)</f>
        <v>0.5</v>
      </c>
      <c r="H30" s="2">
        <f>IFERROR(__xludf.DUMMYFUNCTION("""COMPUTED_VALUE"""),0.5)</f>
        <v>0.5</v>
      </c>
      <c r="I30" s="2">
        <f>IFERROR(__xludf.DUMMYFUNCTION("""COMPUTED_VALUE"""),0.5)</f>
        <v>0.5</v>
      </c>
      <c r="J30" s="2">
        <f>IFERROR(__xludf.DUMMYFUNCTION("""COMPUTED_VALUE"""),0.0)</f>
        <v>0</v>
      </c>
      <c r="K30" s="2" t="str">
        <f>IFERROR(__xludf.DUMMYFUNCTION("""COMPUTED_VALUE"""),"5 – High-quality, Clean Bangla speech")</f>
        <v>5 – High-quality, Clean Bangla speech</v>
      </c>
      <c r="L30" s="2" t="str">
        <f>IFERROR(__xludf.DUMMYFUNCTION("""COMPUTED_VALUE"""),"No")</f>
        <v>No</v>
      </c>
    </row>
    <row r="31">
      <c r="A31" s="2" t="str">
        <f>IFERROR(__xludf.DUMMYFUNCTION("""COMPUTED_VALUE"""),"\collect\read\YouTube\TORONGO\_2X8LOMTO_Y\3a541407-5063-4ef5-86d2-738b58e1c865.flac")</f>
        <v>\collect\read\YouTube\TORONGO\_2X8LOMTO_Y\3a541407-5063-4ef5-86d2-738b58e1c865.flac</v>
      </c>
      <c r="B31" s="2">
        <f>IFERROR(__xludf.DUMMYFUNCTION("""COMPUTED_VALUE"""),30.0)</f>
        <v>30</v>
      </c>
      <c r="C31" s="2" t="str">
        <f>IFERROR(__xludf.DUMMYFUNCTION("""COMPUTED_VALUE"""),"ওয়ালাইকুম সালাম ি কথা বলছে মোহাম্মদ মাজো ফরিদপুর বলমাড়ি থেকেমারযান প্রশ্ন আমার প্রশ্ন রয়েছে যে এই যে আমারও ত সাপের বাজারে চায়েট ডোগান আছে হা তো ওই যে অনেক সময় তামবেনা ওই কাব গরম পানি দুইিটা মানুষকে দেয় কিন্তু অনেকেই এসেবল এদে অয়ন টাইম কাপে চা দিতে তো ওন ট"&amp;"াইম কাপ কিন্তু অনেক ভিন গদলে")</f>
        <v>ওয়ালাইকুম সালাম ি কথা বলছে মোহাম্মদ মাজো ফরিদপুর বলমাড়ি থেকেমারযান প্রশ্ন আমার প্রশ্ন রয়েছে যে এই যে আমারও ত সাপের বাজারে চায়েট ডোগান আছে হা তো ওই যে অনেক সময় তামবেনা ওই কাব গরম পানি দুইিটা মানুষকে দেয় কিন্তু অনেকেই এসেবল এদে অয়ন টাইম কাপে চা দিতে তো ওন টাইম কাপ কিন্তু অনেক ভিন গদলে</v>
      </c>
      <c r="D31" s="2" t="str">
        <f>IFERROR(__xludf.DUMMYFUNCTION("""COMPUTED_VALUE"""),"Yes")</f>
        <v>Yes</v>
      </c>
      <c r="E31" s="2" t="str">
        <f>IFERROR(__xludf.DUMMYFUNCTION("""COMPUTED_VALUE"""),"Yes")</f>
        <v>Yes</v>
      </c>
      <c r="F31" s="2" t="str">
        <f>IFERROR(__xludf.DUMMYFUNCTION("""COMPUTED_VALUE"""),"Yes")</f>
        <v>Yes</v>
      </c>
      <c r="G31" s="2">
        <f>IFERROR(__xludf.DUMMYFUNCTION("""COMPUTED_VALUE"""),0.0)</f>
        <v>0</v>
      </c>
      <c r="H31" s="2">
        <f>IFERROR(__xludf.DUMMYFUNCTION("""COMPUTED_VALUE"""),0.0)</f>
        <v>0</v>
      </c>
      <c r="I31" s="2">
        <f>IFERROR(__xludf.DUMMYFUNCTION("""COMPUTED_VALUE"""),0.0)</f>
        <v>0</v>
      </c>
      <c r="J31" s="2">
        <f>IFERROR(__xludf.DUMMYFUNCTION("""COMPUTED_VALUE"""),0.0)</f>
        <v>0</v>
      </c>
      <c r="K31" s="2" t="str">
        <f>IFERROR(__xludf.DUMMYFUNCTION("""COMPUTED_VALUE"""),"4– Usable, minor flaws Minor background noise.")</f>
        <v>4– Usable, minor flaws Minor background noise.</v>
      </c>
      <c r="L31" s="2" t="str">
        <f>IFERROR(__xludf.DUMMYFUNCTION("""COMPUTED_VALUE"""),"Yes")</f>
        <v>Yes</v>
      </c>
    </row>
    <row r="32">
      <c r="A32" s="2" t="str">
        <f>IFERROR(__xludf.DUMMYFUNCTION("""COMPUTED_VALUE"""),"\collect\read\YouTube\TORONGO\_2X8LOMTO_Y\62b00599-5534-49cc-b3bf-151707dd7f6f.flac")</f>
        <v>\collect\read\YouTube\TORONGO\_2X8LOMTO_Y\62b00599-5534-49cc-b3bf-151707dd7f6f.flac</v>
      </c>
      <c r="B32" s="2">
        <f>IFERROR(__xludf.DUMMYFUNCTION("""COMPUTED_VALUE"""),30.0)</f>
        <v>30</v>
      </c>
      <c r="C32" s="2" t="str">
        <f>IFERROR(__xludf.DUMMYFUNCTION("""COMPUTED_VALUE"""),"ফোন করেন হ্যালো কলা নমাৎ্কার হ্যাঁ শুভেচ্ছা প খন আমদেরকি আবার আতটি ক ছিল খোকন প্রশ্ন বেজ আনতে আাচছে যে ভিটামিন এ প্লাসসাস কিন ভিটামিন যেকোনো ছাক অবজুত ভিটামিন আছে আম মৃত্যুতো ভিটামিন আছে আমি কিন্তু এইগুলো বাস্তবদের না খালে বারে অথবা আমাদের নাখালি ইভানাই দ"&amp;"েখা আছে এইয়আছে কি করে মানে আয় কানা কোয়া তআমান আপনাকের যুদ্ধে আমি কথা বলেছেন যে ভিটামিন এর অভাবে কি কী অস")</f>
        <v>ফোন করেন হ্যালো কলা নমাৎ্কার হ্যাঁ শুভেচ্ছা প খন আমদেরকি আবার আতটি ক ছিল খোকন প্রশ্ন বেজ আনতে আাচছে যে ভিটামিন এ প্লাসসাস কিন ভিটামিন যেকোনো ছাক অবজুত ভিটামিন আছে আম মৃত্যুতো ভিটামিন আছে আমি কিন্তু এইগুলো বাস্তবদের না খালে বারে অথবা আমাদের নাখালি ইভানাই দেখা আছে এইয়আছে কি করে মানে আয় কানা কোয়া তআমান আপনাকের যুদ্ধে আমি কথা বলেছেন যে ভিটামিন এর অভাবে কি কী অস</v>
      </c>
      <c r="D32" s="2" t="str">
        <f>IFERROR(__xludf.DUMMYFUNCTION("""COMPUTED_VALUE"""),"Yes")</f>
        <v>Yes</v>
      </c>
      <c r="E32" s="2" t="str">
        <f>IFERROR(__xludf.DUMMYFUNCTION("""COMPUTED_VALUE"""),"Yes")</f>
        <v>Yes</v>
      </c>
      <c r="F32" s="2" t="str">
        <f>IFERROR(__xludf.DUMMYFUNCTION("""COMPUTED_VALUE"""),"Yes")</f>
        <v>Yes</v>
      </c>
      <c r="G32" s="2">
        <f>IFERROR(__xludf.DUMMYFUNCTION("""COMPUTED_VALUE"""),0.0)</f>
        <v>0</v>
      </c>
      <c r="H32" s="2">
        <f>IFERROR(__xludf.DUMMYFUNCTION("""COMPUTED_VALUE"""),0.0)</f>
        <v>0</v>
      </c>
      <c r="I32" s="2">
        <f>IFERROR(__xludf.DUMMYFUNCTION("""COMPUTED_VALUE"""),0.0)</f>
        <v>0</v>
      </c>
      <c r="J32" s="2">
        <f>IFERROR(__xludf.DUMMYFUNCTION("""COMPUTED_VALUE"""),0.0)</f>
        <v>0</v>
      </c>
      <c r="K32" s="2" t="str">
        <f>IFERROR(__xludf.DUMMYFUNCTION("""COMPUTED_VALUE"""),"3 – Mixed language or inconsistent quality")</f>
        <v>3 – Mixed language or inconsistent quality</v>
      </c>
      <c r="L32" s="2" t="str">
        <f>IFERROR(__xludf.DUMMYFUNCTION("""COMPUTED_VALUE"""),"No")</f>
        <v>No</v>
      </c>
    </row>
    <row r="33">
      <c r="A33" s="2" t="str">
        <f>IFERROR(__xludf.DUMMYFUNCTION("""COMPUTED_VALUE"""),"\collect\read\YouTube\TORONGO\_2X8LOMTO_Y\63383268-d939-43f7-b845-a6fbea660f3b.flac")</f>
        <v>\collect\read\YouTube\TORONGO\_2X8LOMTO_Y\63383268-d939-43f7-b845-a6fbea660f3b.flac</v>
      </c>
      <c r="B33" s="2">
        <f>IFERROR(__xludf.DUMMYFUNCTION("""COMPUTED_VALUE"""),30.0)</f>
        <v>30</v>
      </c>
      <c r="C33" s="2" t="str">
        <f>IFERROR(__xludf.DUMMYFUNCTION("""COMPUTED_VALUE"""),"শাক সবজি মাছ মাংস ডিম মুরগী এগুলো খেয়েই কিন্তু আমরা বড় হচ্ছি সুস্থ আছি আর যে ভিটামিন ট্যাবলেট বা ক্যাপসেলের কথা বলছেন এগুলো সংরক্ষণ পদ্ধতি এবং রোদের তাপ লাগলে তার কার্যকার তো কমে যাওয়া কতদিন রাখলেন সেটা পঞ্চ আজকেই আপনি গাছের লিচু পেড়ে খাচ্ছেন গাছের আম পের"&amp;"ে খাচ্ছেন ইত্যাদি াযে বিষয়গুলো একুু ভাবতেই অবাক লাগে একটা ফ্রেশ গাছ থেকে ছিঁড়ি আপনি আম খাচ্ছেন গাছে ছেড়ার পরেই লিচু খাচ্ছেন এটা কম কথা নয় এবং ভিটাম")</f>
        <v>শাক সবজি মাছ মাংস ডিম মুরগী এগুলো খেয়েই কিন্তু আমরা বড় হচ্ছি সুস্থ আছি আর যে ভিটামিন ট্যাবলেট বা ক্যাপসেলের কথা বলছেন এগুলো সংরক্ষণ পদ্ধতি এবং রোদের তাপ লাগলে তার কার্যকার তো কমে যাওয়া কতদিন রাখলেন সেটা পঞ্চ আজকেই আপনি গাছের লিচু পেড়ে খাচ্ছেন গাছের আম পেরে খাচ্ছেন ইত্যাদি াযে বিষয়গুলো একুু ভাবতেই অবাক লাগে একটা ফ্রেশ গাছ থেকে ছিঁড়ি আপনি আম খাচ্ছেন গাছে ছেড়ার পরেই লিচু খাচ্ছেন এটা কম কথা নয় এবং ভিটাম</v>
      </c>
      <c r="D33" s="2" t="str">
        <f>IFERROR(__xludf.DUMMYFUNCTION("""COMPUTED_VALUE"""),"Yes")</f>
        <v>Yes</v>
      </c>
      <c r="E33" s="2" t="str">
        <f>IFERROR(__xludf.DUMMYFUNCTION("""COMPUTED_VALUE"""),"No")</f>
        <v>No</v>
      </c>
      <c r="F33" s="2" t="str">
        <f>IFERROR(__xludf.DUMMYFUNCTION("""COMPUTED_VALUE"""),"Yes")</f>
        <v>Yes</v>
      </c>
      <c r="G33" s="2">
        <f>IFERROR(__xludf.DUMMYFUNCTION("""COMPUTED_VALUE"""),0.5)</f>
        <v>0.5</v>
      </c>
      <c r="H33" s="2">
        <f>IFERROR(__xludf.DUMMYFUNCTION("""COMPUTED_VALUE"""),1.0)</f>
        <v>1</v>
      </c>
      <c r="I33" s="2">
        <f>IFERROR(__xludf.DUMMYFUNCTION("""COMPUTED_VALUE"""),1.0)</f>
        <v>1</v>
      </c>
      <c r="J33" s="2">
        <f>IFERROR(__xludf.DUMMYFUNCTION("""COMPUTED_VALUE"""),0.5)</f>
        <v>0.5</v>
      </c>
      <c r="K33" s="2" t="str">
        <f>IFERROR(__xludf.DUMMYFUNCTION("""COMPUTED_VALUE"""),"5 – High-quality, Clean Bangla speech")</f>
        <v>5 – High-quality, Clean Bangla speech</v>
      </c>
      <c r="L33" s="2" t="str">
        <f>IFERROR(__xludf.DUMMYFUNCTION("""COMPUTED_VALUE"""),"No")</f>
        <v>No</v>
      </c>
    </row>
    <row r="34">
      <c r="A34" s="2" t="str">
        <f>IFERROR(__xludf.DUMMYFUNCTION("""COMPUTED_VALUE"""),"\collect\read\YouTube\TORONGO\_2X8LOMTO_Y\6ccc2fb6-5753-40ca-b683-73af53fb5f3e.flac")</f>
        <v>\collect\read\YouTube\TORONGO\_2X8LOMTO_Y\6ccc2fb6-5753-40ca-b683-73af53fb5f3e.flac</v>
      </c>
      <c r="B34" s="2">
        <f>IFERROR(__xludf.DUMMYFUNCTION("""COMPUTED_VALUE"""),30.0)</f>
        <v>30</v>
      </c>
      <c r="C34" s="2" t="str">
        <f>IFERROR(__xludf.DUMMYFUNCTION("""COMPUTED_VALUE"""),"তথ্যের আলোকেই কথা বলে থাকি আজকে পুষ্টি বিষয়ক ফোনির অনুষ্ঠান আমাদের আজকে প্রসঙ্গ জাতীয় ভিটামিন এ প্লাস ক্যাম্পেইন আমরা ভিটামিন এ নানা তথ্যের আলোকে জানাতে চাই এবং এর আগেও নানা অনুষ্ঠানে আমরা জানিয়েছি তার ফসল হিসেব আমি পেয়েছি যে আজকে অনেকেই সচেতন আমাদের দেশব"&amp;"্যাপী যারা এই তথ্য হলো জানেন তারা উপেকৃত হয়েছেন তাদের পরিবারকে সুরক্ষিত করেছেন আর ভিটামিন এ প্লাস ক্যাম্পেইন বিশেষ করে আমরা ছোট বাচ্চাদের")</f>
        <v>তথ্যের আলোকেই কথা বলে থাকি আজকে পুষ্টি বিষয়ক ফোনির অনুষ্ঠান আমাদের আজকে প্রসঙ্গ জাতীয় ভিটামিন এ প্লাস ক্যাম্পেইন আমরা ভিটামিন এ নানা তথ্যের আলোকে জানাতে চাই এবং এর আগেও নানা অনুষ্ঠানে আমরা জানিয়েছি তার ফসল হিসেব আমি পেয়েছি যে আজকে অনেকেই সচেতন আমাদের দেশব্যাপী যারা এই তথ্য হলো জানেন তারা উপেকৃত হয়েছেন তাদের পরিবারকে সুরক্ষিত করেছেন আর ভিটামিন এ প্লাস ক্যাম্পেইন বিশেষ করে আমরা ছোট বাচ্চাদের</v>
      </c>
      <c r="D34" s="2" t="str">
        <f>IFERROR(__xludf.DUMMYFUNCTION("""COMPUTED_VALUE"""),"Yes")</f>
        <v>Yes</v>
      </c>
      <c r="E34" s="2" t="str">
        <f>IFERROR(__xludf.DUMMYFUNCTION("""COMPUTED_VALUE"""),"No")</f>
        <v>No</v>
      </c>
      <c r="F34" s="2" t="str">
        <f>IFERROR(__xludf.DUMMYFUNCTION("""COMPUTED_VALUE"""),"No")</f>
        <v>No</v>
      </c>
      <c r="G34" s="2">
        <f>IFERROR(__xludf.DUMMYFUNCTION("""COMPUTED_VALUE"""),1.0)</f>
        <v>1</v>
      </c>
      <c r="H34" s="2">
        <f>IFERROR(__xludf.DUMMYFUNCTION("""COMPUTED_VALUE"""),1.0)</f>
        <v>1</v>
      </c>
      <c r="I34" s="2">
        <f>IFERROR(__xludf.DUMMYFUNCTION("""COMPUTED_VALUE"""),1.0)</f>
        <v>1</v>
      </c>
      <c r="J34" s="2">
        <f>IFERROR(__xludf.DUMMYFUNCTION("""COMPUTED_VALUE"""),0.5)</f>
        <v>0.5</v>
      </c>
      <c r="K34" s="2" t="str">
        <f>IFERROR(__xludf.DUMMYFUNCTION("""COMPUTED_VALUE"""),"5 – High-quality, Clean Bangla speech")</f>
        <v>5 – High-quality, Clean Bangla speech</v>
      </c>
      <c r="L34" s="2" t="str">
        <f>IFERROR(__xludf.DUMMYFUNCTION("""COMPUTED_VALUE"""),"No")</f>
        <v>No</v>
      </c>
    </row>
    <row r="35">
      <c r="A35" s="2" t="str">
        <f>IFERROR(__xludf.DUMMYFUNCTION("""COMPUTED_VALUE"""),"\collect\read\YouTube\TORONGO\_2X8LOMTO_Y\6e249301-ac40-43b4-94a1-c494887508b7.flac")</f>
        <v>\collect\read\YouTube\TORONGO\_2X8LOMTO_Y\6e249301-ac40-43b4-94a1-c494887508b7.flac</v>
      </c>
      <c r="B35" s="2">
        <f>IFERROR(__xludf.DUMMYFUNCTION("""COMPUTED_VALUE"""),30.0)</f>
        <v>30</v>
      </c>
      <c r="C35" s="2" t="str">
        <f>IFERROR(__xludf.DUMMYFUNCTION("""COMPUTED_VALUE"""),"মাছ মাংস এগুলো কিন্তু আমরা আস্তে আস্তে করে বাচ্চাদেরকে পরিচয় করায় এবং আমরা যদি তখন থেকে ছয় মাস থেকেই আমরা এই বা মান ইয়েটা ই থাকতে পারি মানে এই পরিচয়টা খাদ্যের সাথে পরিচিতিটা আমরা বজায় রাখতে পারি তাহলে কিন্তু আর পরবর্তী সমস্যাটা হয় না আমরা দেখা যায় কি আমরা"&amp;" বাচ্চাদেরকে প্রথমে বাইরে তৈরি খাওয়া বাইরে যে তিনজাত খাবার বা ফর্মুলা মিল আছে সেগুলো আমরা দিই ছয় মাসের পর থেকে বা বাইরের বিভিন্ন রকমের ফাস্ট ফুড ট্রাস্ট ফুড জাঙ্ক ফুট এগুলা")</f>
        <v>মাছ মাংস এগুলো কিন্তু আমরা আস্তে আস্তে করে বাচ্চাদেরকে পরিচয় করায় এবং আমরা যদি তখন থেকে ছয় মাস থেকেই আমরা এই বা মান ইয়েটা ই থাকতে পারি মানে এই পরিচয়টা খাদ্যের সাথে পরিচিতিটা আমরা বজায় রাখতে পারি তাহলে কিন্তু আর পরবর্তী সমস্যাটা হয় না আমরা দেখা যায় কি আমরা বাচ্চাদেরকে প্রথমে বাইরে তৈরি খাওয়া বাইরে যে তিনজাত খাবার বা ফর্মুলা মিল আছে সেগুলো আমরা দিই ছয় মাসের পর থেকে বা বাইরের বিভিন্ন রকমের ফাস্ট ফুড ট্রাস্ট ফুড জাঙ্ক ফুট এগুলা</v>
      </c>
      <c r="D35" s="2" t="str">
        <f>IFERROR(__xludf.DUMMYFUNCTION("""COMPUTED_VALUE"""),"Yes")</f>
        <v>Yes</v>
      </c>
      <c r="E35" s="2" t="str">
        <f>IFERROR(__xludf.DUMMYFUNCTION("""COMPUTED_VALUE"""),"No")</f>
        <v>No</v>
      </c>
      <c r="F35" s="2" t="str">
        <f>IFERROR(__xludf.DUMMYFUNCTION("""COMPUTED_VALUE"""),"Yes")</f>
        <v>Yes</v>
      </c>
      <c r="G35" s="2">
        <f>IFERROR(__xludf.DUMMYFUNCTION("""COMPUTED_VALUE"""),0.5)</f>
        <v>0.5</v>
      </c>
      <c r="H35" s="2">
        <f>IFERROR(__xludf.DUMMYFUNCTION("""COMPUTED_VALUE"""),0.5)</f>
        <v>0.5</v>
      </c>
      <c r="I35" s="2">
        <f>IFERROR(__xludf.DUMMYFUNCTION("""COMPUTED_VALUE"""),0.5)</f>
        <v>0.5</v>
      </c>
      <c r="J35" s="2">
        <f>IFERROR(__xludf.DUMMYFUNCTION("""COMPUTED_VALUE"""),0.5)</f>
        <v>0.5</v>
      </c>
      <c r="K35" s="2" t="str">
        <f>IFERROR(__xludf.DUMMYFUNCTION("""COMPUTED_VALUE"""),"5 – High-quality, Clean Bangla speech")</f>
        <v>5 – High-quality, Clean Bangla speech</v>
      </c>
      <c r="L35" s="2" t="str">
        <f>IFERROR(__xludf.DUMMYFUNCTION("""COMPUTED_VALUE"""),"Yes")</f>
        <v>Yes</v>
      </c>
    </row>
    <row r="36">
      <c r="A36" s="2" t="str">
        <f>IFERROR(__xludf.DUMMYFUNCTION("""COMPUTED_VALUE"""),"\collect\read\YouTube\TORONGO\_2X8LOMTO_Y\73b2bc86-ef5e-488d-a84b-10632223cd00.flac")</f>
        <v>\collect\read\YouTube\TORONGO\_2X8LOMTO_Y\73b2bc86-ef5e-488d-a84b-10632223cd00.flac</v>
      </c>
      <c r="B36" s="2">
        <f>IFERROR(__xludf.DUMMYFUNCTION("""COMPUTED_VALUE"""),30.0)</f>
        <v>30</v>
      </c>
      <c r="C36" s="2" t="str">
        <f>IFERROR(__xludf.DUMMYFUNCTION("""COMPUTED_VALUE"""),"এই গুরুত্বপূর্ণ অনুপুষ্টিটা আমাদের শূন্য থেকে পাঁচ বছর সারিস ছয় মাস থেকে পাঁচ বছর বয়সের বাচ্চাদেরকে আমরা খাওয়া তাও মানে খাওয়ানোর উদ্যোগ নিয়ে থাকি এবং এইক্ষেত্রে নীল ক্যাপসুলা লাল ক্যাপসুল দুইটা ডিভিশন আছে যেটা হচ্ছে ছয় মাস থেকে এক বছর পর্যন্ত আমরা নীল ক্য"&amp;"াপসুল এবং এক বছর থেকে পাঁচ বছর পর্যন্ত আমরা লাল ক্যাপসুল খাওয়ান মানে খাওয়ারে উদ্যোগ নিয়ে থাকি এক্ষেত্রে দেখা যায় যে এই যে পাঁচ বছর বয়স পর্যন্ত বচার আসলে তাদের খাবারের চাহিদাটা পূরণ করতে পারে")</f>
        <v>এই গুরুত্বপূর্ণ অনুপুষ্টিটা আমাদের শূন্য থেকে পাঁচ বছর সারিস ছয় মাস থেকে পাঁচ বছর বয়সের বাচ্চাদেরকে আমরা খাওয়া তাও মানে খাওয়ানোর উদ্যোগ নিয়ে থাকি এবং এইক্ষেত্রে নীল ক্যাপসুলা লাল ক্যাপসুল দুইটা ডিভিশন আছে যেটা হচ্ছে ছয় মাস থেকে এক বছর পর্যন্ত আমরা নীল ক্যাপসুল এবং এক বছর থেকে পাঁচ বছর পর্যন্ত আমরা লাল ক্যাপসুল খাওয়ান মানে খাওয়ারে উদ্যোগ নিয়ে থাকি এক্ষেত্রে দেখা যায় যে এই যে পাঁচ বছর বয়স পর্যন্ত বচার আসলে তাদের খাবারের চাহিদাটা পূরণ করতে পারে</v>
      </c>
      <c r="D36" s="2" t="str">
        <f>IFERROR(__xludf.DUMMYFUNCTION("""COMPUTED_VALUE"""),"Yes")</f>
        <v>Yes</v>
      </c>
      <c r="E36" s="2" t="str">
        <f>IFERROR(__xludf.DUMMYFUNCTION("""COMPUTED_VALUE"""),"Yes")</f>
        <v>Yes</v>
      </c>
      <c r="F36" s="2" t="str">
        <f>IFERROR(__xludf.DUMMYFUNCTION("""COMPUTED_VALUE"""),"Yes")</f>
        <v>Yes</v>
      </c>
      <c r="G36" s="2">
        <f>IFERROR(__xludf.DUMMYFUNCTION("""COMPUTED_VALUE"""),0.5)</f>
        <v>0.5</v>
      </c>
      <c r="H36" s="2">
        <f>IFERROR(__xludf.DUMMYFUNCTION("""COMPUTED_VALUE"""),0.5)</f>
        <v>0.5</v>
      </c>
      <c r="I36" s="2">
        <f>IFERROR(__xludf.DUMMYFUNCTION("""COMPUTED_VALUE"""),0.0)</f>
        <v>0</v>
      </c>
      <c r="J36" s="2">
        <f>IFERROR(__xludf.DUMMYFUNCTION("""COMPUTED_VALUE"""),0.0)</f>
        <v>0</v>
      </c>
      <c r="K36" s="2" t="str">
        <f>IFERROR(__xludf.DUMMYFUNCTION("""COMPUTED_VALUE"""),"5 – High-quality, Clean Bangla speech")</f>
        <v>5 – High-quality, Clean Bangla speech</v>
      </c>
      <c r="L36" s="2" t="str">
        <f>IFERROR(__xludf.DUMMYFUNCTION("""COMPUTED_VALUE"""),"No")</f>
        <v>No</v>
      </c>
    </row>
    <row r="37">
      <c r="A37" s="2" t="str">
        <f>IFERROR(__xludf.DUMMYFUNCTION("""COMPUTED_VALUE"""),"\collect\read\YouTube\TORONGO\_2X8LOMTO_Y\74705057-8442-44fa-aee6-809d8617a88e.flac")</f>
        <v>\collect\read\YouTube\TORONGO\_2X8LOMTO_Y\74705057-8442-44fa-aee6-809d8617a88e.flac</v>
      </c>
      <c r="B37" s="2">
        <f>IFERROR(__xludf.DUMMYFUNCTION("""COMPUTED_VALUE"""),30.0)</f>
        <v>30</v>
      </c>
      <c r="C37" s="2" t="str">
        <f>IFERROR(__xludf.DUMMYFUNCTION("""COMPUTED_VALUE"""),"আমাদের আজকের আলোচনা প্রসঙ্গ জাতীয় ভিটামিন এ প্লাস ক্যাম্পেইন অর্থাৎ ভিটামিন এ নিয়ে কথা হচ্ছে আর ফল নিয়েও কথা হচ্ছে আম লিচু কাঁঠাল জাম পেঁপে কলা কথাগুলো শুনছেন ফলের সাথে ভিটামিন এ একটা সম্পর্ক বা প্রয়োজনীয়তা দেখা দিতল ধন্যবাদ আসলে এই যে ভিটামিন এ প্লাস ক্য"&amp;"াম্পেইন টাটার গুরুত্বটা আমি আগে বলি যে এটা কেন আমাদের জন্য গুরুত্বপূর্ণ আমরা অনেকটা আমাদের শরীরের বাচ্চাদেরকে যে অনুপুষ্টি")</f>
        <v>আমাদের আজকের আলোচনা প্রসঙ্গ জাতীয় ভিটামিন এ প্লাস ক্যাম্পেইন অর্থাৎ ভিটামিন এ নিয়ে কথা হচ্ছে আর ফল নিয়েও কথা হচ্ছে আম লিচু কাঁঠাল জাম পেঁপে কলা কথাগুলো শুনছেন ফলের সাথে ভিটামিন এ একটা সম্পর্ক বা প্রয়োজনীয়তা দেখা দিতল ধন্যবাদ আসলে এই যে ভিটামিন এ প্লাস ক্যাম্পেইন টাটার গুরুত্বটা আমি আগে বলি যে এটা কেন আমাদের জন্য গুরুত্বপূর্ণ আমরা অনেকটা আমাদের শরীরের বাচ্চাদেরকে যে অনুপুষ্টি</v>
      </c>
      <c r="D37" s="2" t="str">
        <f>IFERROR(__xludf.DUMMYFUNCTION("""COMPUTED_VALUE"""),"Yes")</f>
        <v>Yes</v>
      </c>
      <c r="E37" s="2" t="str">
        <f>IFERROR(__xludf.DUMMYFUNCTION("""COMPUTED_VALUE"""),"No")</f>
        <v>No</v>
      </c>
      <c r="F37" s="2" t="str">
        <f>IFERROR(__xludf.DUMMYFUNCTION("""COMPUTED_VALUE"""),"No")</f>
        <v>No</v>
      </c>
      <c r="G37" s="2">
        <f>IFERROR(__xludf.DUMMYFUNCTION("""COMPUTED_VALUE"""),0.5)</f>
        <v>0.5</v>
      </c>
      <c r="H37" s="2">
        <f>IFERROR(__xludf.DUMMYFUNCTION("""COMPUTED_VALUE"""),1.0)</f>
        <v>1</v>
      </c>
      <c r="I37" s="2">
        <f>IFERROR(__xludf.DUMMYFUNCTION("""COMPUTED_VALUE"""),1.0)</f>
        <v>1</v>
      </c>
      <c r="J37" s="2">
        <f>IFERROR(__xludf.DUMMYFUNCTION("""COMPUTED_VALUE"""),1.0)</f>
        <v>1</v>
      </c>
      <c r="K37" s="2" t="str">
        <f>IFERROR(__xludf.DUMMYFUNCTION("""COMPUTED_VALUE"""),"5 – High-quality, Clean Bangla speech")</f>
        <v>5 – High-quality, Clean Bangla speech</v>
      </c>
      <c r="L37" s="2" t="str">
        <f>IFERROR(__xludf.DUMMYFUNCTION("""COMPUTED_VALUE"""),"No")</f>
        <v>No</v>
      </c>
    </row>
    <row r="38">
      <c r="A38" s="2" t="str">
        <f>IFERROR(__xludf.DUMMYFUNCTION("""COMPUTED_VALUE"""),"\collect\read\YouTube\TORONGO\_2X8LOMTO_Y\74929eeb-5e4d-441b-87a0-25e1155c5e90.flac")</f>
        <v>\collect\read\YouTube\TORONGO\_2X8LOMTO_Y\74929eeb-5e4d-441b-87a0-25e1155c5e90.flac</v>
      </c>
      <c r="B38" s="2">
        <f>IFERROR(__xludf.DUMMYFUNCTION("""COMPUTED_VALUE"""),30.0)</f>
        <v>30</v>
      </c>
      <c r="C38" s="2" t="str">
        <f>IFERROR(__xludf.DUMMYFUNCTION("""COMPUTED_VALUE"""),"বারো বছর বাচ্চাদের কেন খাওয়ানো হয় না পলাশ চন্দ্ররা জানতে চায় ধন্যবাদ আসলে আমরা এই যে ছয় মাস থেকে পাঁচ বছর আমরা যে মুইনিংটা শুরু করি বা আমরা যে পারিবারিক খাবার বাসায় তৈরি করা হাড়ির খাবার মায়ের বুকের দুধের পাশাপাশি শুরু করি এক্ষেত্রে অনেক সময় আমাদের বাচ্চার"&amp;"া যেহেতু খাবার টা নিজেরা চয়েস করে খেতে পারে না তাদের পছন্দনীয় যে কোনটার মধ্যে আয়রন আছে কোনটার মধ্যে ভিটামিন আছে কোনটার মধ্যে ক্যালশুয়াম আছে এগুলো আসলে তাদের মধ্যে না থাকে না যেটা বড়রা অনেকটা জাহাজ করতে পারে সেজন্য আমরা পাঁচ বছর বয়")</f>
        <v>বারো বছর বাচ্চাদের কেন খাওয়ানো হয় না পলাশ চন্দ্ররা জানতে চায় ধন্যবাদ আসলে আমরা এই যে ছয় মাস থেকে পাঁচ বছর আমরা যে মুইনিংটা শুরু করি বা আমরা যে পারিবারিক খাবার বাসায় তৈরি করা হাড়ির খাবার মায়ের বুকের দুধের পাশাপাশি শুরু করি এক্ষেত্রে অনেক সময় আমাদের বাচ্চারা যেহেতু খাবার টা নিজেরা চয়েস করে খেতে পারে না তাদের পছন্দনীয় যে কোনটার মধ্যে আয়রন আছে কোনটার মধ্যে ভিটামিন আছে কোনটার মধ্যে ক্যালশুয়াম আছে এগুলো আসলে তাদের মধ্যে না থাকে না যেটা বড়রা অনেকটা জাহাজ করতে পারে সেজন্য আমরা পাঁচ বছর বয়</v>
      </c>
      <c r="D38" s="2" t="str">
        <f>IFERROR(__xludf.DUMMYFUNCTION("""COMPUTED_VALUE"""),"Yes")</f>
        <v>Yes</v>
      </c>
      <c r="E38" s="2" t="str">
        <f>IFERROR(__xludf.DUMMYFUNCTION("""COMPUTED_VALUE"""),"No")</f>
        <v>No</v>
      </c>
      <c r="F38" s="2" t="str">
        <f>IFERROR(__xludf.DUMMYFUNCTION("""COMPUTED_VALUE"""),"Yes")</f>
        <v>Yes</v>
      </c>
      <c r="G38" s="2">
        <f>IFERROR(__xludf.DUMMYFUNCTION("""COMPUTED_VALUE"""),0.5)</f>
        <v>0.5</v>
      </c>
      <c r="H38" s="2">
        <f>IFERROR(__xludf.DUMMYFUNCTION("""COMPUTED_VALUE"""),1.0)</f>
        <v>1</v>
      </c>
      <c r="I38" s="2">
        <f>IFERROR(__xludf.DUMMYFUNCTION("""COMPUTED_VALUE"""),1.0)</f>
        <v>1</v>
      </c>
      <c r="J38" s="2">
        <f>IFERROR(__xludf.DUMMYFUNCTION("""COMPUTED_VALUE"""),1.0)</f>
        <v>1</v>
      </c>
      <c r="K38" s="2" t="str">
        <f>IFERROR(__xludf.DUMMYFUNCTION("""COMPUTED_VALUE"""),"5 – High-quality, Clean Bangla speech")</f>
        <v>5 – High-quality, Clean Bangla speech</v>
      </c>
      <c r="L38" s="2" t="str">
        <f>IFERROR(__xludf.DUMMYFUNCTION("""COMPUTED_VALUE"""),"Yes")</f>
        <v>Yes</v>
      </c>
    </row>
    <row r="39">
      <c r="A39" s="2" t="str">
        <f>IFERROR(__xludf.DUMMYFUNCTION("""COMPUTED_VALUE"""),"\collect\read\YouTube\TORONGO\_2X8LOMTO_Y\7bbb4b06-3878-48cd-9f20-851561f24b00.flac")</f>
        <v>\collect\read\YouTube\TORONGO\_2X8LOMTO_Y\7bbb4b06-3878-48cd-9f20-851561f24b00.flac</v>
      </c>
      <c r="B39" s="2">
        <f>IFERROR(__xludf.DUMMYFUNCTION("""COMPUTED_VALUE"""),30.0)</f>
        <v>30</v>
      </c>
      <c r="C39" s="2" t="str">
        <f>IFERROR(__xludf.DUMMYFUNCTION("""COMPUTED_VALUE"""),"মাত্র আমরা দিলাম হ কী জানতে চান বলুন মিবিষয়ি জানতে চাচ্ছে আমরা গ্রাম অঞ্চলে বেশিভাগ ায়সে গে যখন ফ্রহণ করি ফল খাই াতমপরিক্ার াবান দ হাত দইনা এক্ষেত্রে কতটুক ফল থেকা পে সাাতে কটা প্রশ্ন উত্তর দিলাম পাা থেকে প্রশ্ন করছেন একই উত্র আপনি যেটা জানতে চেলেন যে ফল "&amp;"খাওয়ার আগে হাত ধোয়া বা পরিচ্ছন্নতার কথা বলে বলা হয়হয়ে গেছে আমাদের সঙ্গে থাকুন আমরা আগে একটা ফোন নেই")</f>
        <v>মাত্র আমরা দিলাম হ কী জানতে চান বলুন মিবিষয়ি জানতে চাচ্ছে আমরা গ্রাম অঞ্চলে বেশিভাগ ায়সে গে যখন ফ্রহণ করি ফল খাই াতমপরিক্ার াবান দ হাত দইনা এক্ষেত্রে কতটুক ফল থেকা পে সাাতে কটা প্রশ্ন উত্তর দিলাম পাা থেকে প্রশ্ন করছেন একই উত্র আপনি যেটা জানতে চেলেন যে ফল খাওয়ার আগে হাত ধোয়া বা পরিচ্ছন্নতার কথা বলে বলা হয়হয়ে গেছে আমাদের সঙ্গে থাকুন আমরা আগে একটা ফোন নেই</v>
      </c>
      <c r="D39" s="2" t="str">
        <f>IFERROR(__xludf.DUMMYFUNCTION("""COMPUTED_VALUE"""),"Yes")</f>
        <v>Yes</v>
      </c>
      <c r="E39" s="2" t="str">
        <f>IFERROR(__xludf.DUMMYFUNCTION("""COMPUTED_VALUE"""),"Yes")</f>
        <v>Yes</v>
      </c>
      <c r="F39" s="2" t="str">
        <f>IFERROR(__xludf.DUMMYFUNCTION("""COMPUTED_VALUE"""),"Yes")</f>
        <v>Yes</v>
      </c>
      <c r="G39" s="2">
        <f>IFERROR(__xludf.DUMMYFUNCTION("""COMPUTED_VALUE"""),0.0)</f>
        <v>0</v>
      </c>
      <c r="H39" s="2">
        <f>IFERROR(__xludf.DUMMYFUNCTION("""COMPUTED_VALUE"""),0.0)</f>
        <v>0</v>
      </c>
      <c r="I39" s="2">
        <f>IFERROR(__xludf.DUMMYFUNCTION("""COMPUTED_VALUE"""),0.5)</f>
        <v>0.5</v>
      </c>
      <c r="J39" s="2">
        <f>IFERROR(__xludf.DUMMYFUNCTION("""COMPUTED_VALUE"""),0.0)</f>
        <v>0</v>
      </c>
      <c r="K39" s="2" t="str">
        <f>IFERROR(__xludf.DUMMYFUNCTION("""COMPUTED_VALUE"""),"4– Usable, minor flaws Minor background noise.")</f>
        <v>4– Usable, minor flaws Minor background noise.</v>
      </c>
      <c r="L39" s="2" t="str">
        <f>IFERROR(__xludf.DUMMYFUNCTION("""COMPUTED_VALUE"""),"No")</f>
        <v>No</v>
      </c>
    </row>
    <row r="40">
      <c r="A40" s="2" t="str">
        <f>IFERROR(__xludf.DUMMYFUNCTION("""COMPUTED_VALUE"""),"\collect\read\YouTube\TORONGO\_2X8LOMTO_Y\878a3e84-4cbc-4974-b360-17ee6c9120c5.flac")</f>
        <v>\collect\read\YouTube\TORONGO\_2X8LOMTO_Y\878a3e84-4cbc-4974-b360-17ee6c9120c5.flac</v>
      </c>
      <c r="B40" s="2">
        <f>IFERROR(__xludf.DUMMYFUNCTION("""COMPUTED_VALUE"""),30.0)</f>
        <v>30</v>
      </c>
      <c r="C40" s="2" t="str">
        <f>IFERROR(__xludf.DUMMYFUNCTION("""COMPUTED_VALUE"""),"এবং পাঁচশো প্রতিক্রিয়া যদি বলি আমরা যে এত বছর ধরে খাচ ছে যে ভিটামিন এ প্লেস ক্যাম্পিনটা চালু আছে তা কিন্তু পাঁচশো প্রক্িরা প্রতিক্রিয়া বলতে টোটালি নিং এবং পার্শ্বপ্রতীকিয়ে খুবই সামান্য খুবই সামান্য এবং এক্ষেত্রে আমাদের এই যে জর ঠান্ডা কাশেগুলো তো হতেই পার"&amp;"ে অনেক সময় যদি আমাদের ওভারডোস হয়ে যায় তাহলে অনেক সময় প্রবলেম হয় কিন্তু এগুলো কিন্তু বা আপনি যদি অতিরিক্ত গরমে খালি পেতে জাঙ্ক ফুটটুট খাওয়ানোর পরে আপনার বাচ্চাকে জোর করে ভিটামিন এ খাওয়াতে জানত করছে মাঝে মাঝে বমি করবেন")</f>
        <v>এবং পাঁচশো প্রতিক্রিয়া যদি বলি আমরা যে এত বছর ধরে খাচ ছে যে ভিটামিন এ প্লেস ক্যাম্পিনটা চালু আছে তা কিন্তু পাঁচশো প্রক্িরা প্রতিক্রিয়া বলতে টোটালি নিং এবং পার্শ্বপ্রতীকিয়ে খুবই সামান্য খুবই সামান্য এবং এক্ষেত্রে আমাদের এই যে জর ঠান্ডা কাশেগুলো তো হতেই পারে অনেক সময় যদি আমাদের ওভারডোস হয়ে যায় তাহলে অনেক সময় প্রবলেম হয় কিন্তু এগুলো কিন্তু বা আপনি যদি অতিরিক্ত গরমে খালি পেতে জাঙ্ক ফুটটুট খাওয়ানোর পরে আপনার বাচ্চাকে জোর করে ভিটামিন এ খাওয়াতে জানত করছে মাঝে মাঝে বমি করবেন</v>
      </c>
      <c r="D40" s="2" t="str">
        <f>IFERROR(__xludf.DUMMYFUNCTION("""COMPUTED_VALUE"""),"Yes")</f>
        <v>Yes</v>
      </c>
      <c r="E40" s="2" t="str">
        <f>IFERROR(__xludf.DUMMYFUNCTION("""COMPUTED_VALUE"""),"No")</f>
        <v>No</v>
      </c>
      <c r="F40" s="2" t="str">
        <f>IFERROR(__xludf.DUMMYFUNCTION("""COMPUTED_VALUE"""),"Yes")</f>
        <v>Yes</v>
      </c>
      <c r="G40" s="2">
        <f>IFERROR(__xludf.DUMMYFUNCTION("""COMPUTED_VALUE"""),0.5)</f>
        <v>0.5</v>
      </c>
      <c r="H40" s="2">
        <f>IFERROR(__xludf.DUMMYFUNCTION("""COMPUTED_VALUE"""),1.0)</f>
        <v>1</v>
      </c>
      <c r="I40" s="2">
        <f>IFERROR(__xludf.DUMMYFUNCTION("""COMPUTED_VALUE"""),1.0)</f>
        <v>1</v>
      </c>
      <c r="J40" s="2">
        <f>IFERROR(__xludf.DUMMYFUNCTION("""COMPUTED_VALUE"""),1.0)</f>
        <v>1</v>
      </c>
      <c r="K40" s="2" t="str">
        <f>IFERROR(__xludf.DUMMYFUNCTION("""COMPUTED_VALUE"""),"5 – High-quality, Clean Bangla speech")</f>
        <v>5 – High-quality, Clean Bangla speech</v>
      </c>
      <c r="L40" s="2" t="str">
        <f>IFERROR(__xludf.DUMMYFUNCTION("""COMPUTED_VALUE"""),"Yes")</f>
        <v>Yes</v>
      </c>
    </row>
    <row r="41">
      <c r="A41" s="2" t="str">
        <f>IFERROR(__xludf.DUMMYFUNCTION("""COMPUTED_VALUE"""),"\collect\read\YouTube\TORONGO\_2X8LOMTO_Y\9024d332-45bf-403d-8846-644ede6652a0.flac")</f>
        <v>\collect\read\YouTube\TORONGO\_2X8LOMTO_Y\9024d332-45bf-403d-8846-644ede6652a0.flac</v>
      </c>
      <c r="B41" s="2">
        <f>IFERROR(__xludf.DUMMYFUNCTION("""COMPUTED_VALUE"""),30.0)</f>
        <v>30</v>
      </c>
      <c r="C41" s="2" t="str">
        <f>IFERROR(__xludf.DUMMYFUNCTION("""COMPUTED_VALUE"""),"ধন্যবাদ আসলে এটা একটু আমাদেরকে কেয়ারফুল থাকতে হবে যে আমলি টু যেগুলো আমরাও কুড়িয়ে পাই সেগুলো কিন্তু অবশ্যই খাওয়ানোর সময় আমাদেরকে একটা জিনিস খেয়াল রাখতে হবে যে পেটের মুলা পাখিতে খাওয়া কিনা বা বাদুড়ে খাওয়া কিনা খবরদারে এগটা জিনিসটা অবশ্যই আমাদের কেয়ারবে মানে"&amp;" কেয়ারফুল থাকতে হবে এবং আমরা গাছ থেকে পেড়ে ধুয়ে সুন্দর করে প্রবহমান পানিতে যে ফলগুলো আমরা তৈরি করি এটা কেটে তারপর আমরা খাওয়াতে পারি বাচ্চাদেরকে কিন্তু পাখিতে বা বাদুড়ে খাওয়ানো ফল অবশ্যই কিন্তু খাওয়ানো যায়ে")</f>
        <v>ধন্যবাদ আসলে এটা একটু আমাদেরকে কেয়ারফুল থাকতে হবে যে আমলি টু যেগুলো আমরাও কুড়িয়ে পাই সেগুলো কিন্তু অবশ্যই খাওয়ানোর সময় আমাদেরকে একটা জিনিস খেয়াল রাখতে হবে যে পেটের মুলা পাখিতে খাওয়া কিনা বা বাদুড়ে খাওয়া কিনা খবরদারে এগটা জিনিসটা অবশ্যই আমাদের কেয়ারবে মানে কেয়ারফুল থাকতে হবে এবং আমরা গাছ থেকে পেড়ে ধুয়ে সুন্দর করে প্রবহমান পানিতে যে ফলগুলো আমরা তৈরি করি এটা কেটে তারপর আমরা খাওয়াতে পারি বাচ্চাদেরকে কিন্তু পাখিতে বা বাদুড়ে খাওয়ানো ফল অবশ্যই কিন্তু খাওয়ানো যায়ে</v>
      </c>
      <c r="D41" s="2" t="str">
        <f>IFERROR(__xludf.DUMMYFUNCTION("""COMPUTED_VALUE"""),"Yes")</f>
        <v>Yes</v>
      </c>
      <c r="E41" s="2" t="str">
        <f>IFERROR(__xludf.DUMMYFUNCTION("""COMPUTED_VALUE"""),"No")</f>
        <v>No</v>
      </c>
      <c r="F41" s="2" t="str">
        <f>IFERROR(__xludf.DUMMYFUNCTION("""COMPUTED_VALUE"""),"No")</f>
        <v>No</v>
      </c>
      <c r="G41" s="2">
        <f>IFERROR(__xludf.DUMMYFUNCTION("""COMPUTED_VALUE"""),1.0)</f>
        <v>1</v>
      </c>
      <c r="H41" s="2">
        <f>IFERROR(__xludf.DUMMYFUNCTION("""COMPUTED_VALUE"""),1.0)</f>
        <v>1</v>
      </c>
      <c r="I41" s="2">
        <f>IFERROR(__xludf.DUMMYFUNCTION("""COMPUTED_VALUE"""),1.0)</f>
        <v>1</v>
      </c>
      <c r="J41" s="2">
        <f>IFERROR(__xludf.DUMMYFUNCTION("""COMPUTED_VALUE"""),0.5)</f>
        <v>0.5</v>
      </c>
      <c r="K41" s="2" t="str">
        <f>IFERROR(__xludf.DUMMYFUNCTION("""COMPUTED_VALUE"""),"5 – High-quality, Clean Bangla speech")</f>
        <v>5 – High-quality, Clean Bangla speech</v>
      </c>
      <c r="L41" s="2" t="str">
        <f>IFERROR(__xludf.DUMMYFUNCTION("""COMPUTED_VALUE"""),"No")</f>
        <v>No</v>
      </c>
    </row>
    <row r="42">
      <c r="A42" s="2" t="str">
        <f>IFERROR(__xludf.DUMMYFUNCTION("""COMPUTED_VALUE"""),"\collect\read\YouTube\TORONGO\_2X8LOMTO_Y\93e121b0-abb1-480a-a57c-f6a075775be4.flac")</f>
        <v>\collect\read\YouTube\TORONGO\_2X8LOMTO_Y\93e121b0-abb1-480a-a57c-f6a075775be4.flac</v>
      </c>
      <c r="B42" s="2">
        <f>IFERROR(__xludf.DUMMYFUNCTION("""COMPUTED_VALUE"""),30.0)</f>
        <v>30</v>
      </c>
      <c r="C42" s="2" t="str">
        <f>IFERROR(__xludf.DUMMYFUNCTION("""COMPUTED_VALUE"""),"সো এগুলো যদি আমরা খাদ্য তালিকায় রাখতে পারি এবং বার্তাগুলো আমরা যদি জনগণের মাঝখানে বারবার করে যে পৌঁছে দিছি সেক্ষেত্রে কিন্তু আমাদের শিশু মৃত্যুর হারও অনেকটা কমে গেছে এবং এই যে গড় বড়কাল মহামারিনা আপনি দেখছেন আমাদের কিন্তু শিশু মৃত্যুর হার অনেকটা কম এখানে ভ"&amp;"িটামিনেএ প্লাস ক্যাম্পেনির গুরুত্বটা অনেকটা বেশি ধন্যবাদ ারবিপুল নিচ্ছি ফোন কল ভালো ওয়ালাইকুম সালাম নিকটা বলছি হালী মোহাম্মদ মিনকে হালোনিয়া জঙ্গল বানার")</f>
        <v>সো এগুলো যদি আমরা খাদ্য তালিকায় রাখতে পারি এবং বার্তাগুলো আমরা যদি জনগণের মাঝখানে বারবার করে যে পৌঁছে দিছি সেক্ষেত্রে কিন্তু আমাদের শিশু মৃত্যুর হারও অনেকটা কমে গেছে এবং এই যে গড় বড়কাল মহামারিনা আপনি দেখছেন আমাদের কিন্তু শিশু মৃত্যুর হার অনেকটা কম এখানে ভিটামিনেএ প্লাস ক্যাম্পেনির গুরুত্বটা অনেকটা বেশি ধন্যবাদ ারবিপুল নিচ্ছি ফোন কল ভালো ওয়ালাইকুম সালাম নিকটা বলছি হালী মোহাম্মদ মিনকে হালোনিয়া জঙ্গল বানার</v>
      </c>
      <c r="D42" s="2" t="str">
        <f>IFERROR(__xludf.DUMMYFUNCTION("""COMPUTED_VALUE"""),"Yes")</f>
        <v>Yes</v>
      </c>
      <c r="E42" s="2" t="str">
        <f>IFERROR(__xludf.DUMMYFUNCTION("""COMPUTED_VALUE"""),"No")</f>
        <v>No</v>
      </c>
      <c r="F42" s="2" t="str">
        <f>IFERROR(__xludf.DUMMYFUNCTION("""COMPUTED_VALUE"""),"No")</f>
        <v>No</v>
      </c>
      <c r="G42" s="2">
        <f>IFERROR(__xludf.DUMMYFUNCTION("""COMPUTED_VALUE"""),0.5)</f>
        <v>0.5</v>
      </c>
      <c r="H42" s="2">
        <f>IFERROR(__xludf.DUMMYFUNCTION("""COMPUTED_VALUE"""),1.0)</f>
        <v>1</v>
      </c>
      <c r="I42" s="2">
        <f>IFERROR(__xludf.DUMMYFUNCTION("""COMPUTED_VALUE"""),0.0)</f>
        <v>0</v>
      </c>
      <c r="J42" s="2">
        <f>IFERROR(__xludf.DUMMYFUNCTION("""COMPUTED_VALUE"""),0.5)</f>
        <v>0.5</v>
      </c>
      <c r="K42" s="2" t="str">
        <f>IFERROR(__xludf.DUMMYFUNCTION("""COMPUTED_VALUE"""),"4– Usable, minor flaws Minor background noise.")</f>
        <v>4– Usable, minor flaws Minor background noise.</v>
      </c>
      <c r="L42" s="2" t="str">
        <f>IFERROR(__xludf.DUMMYFUNCTION("""COMPUTED_VALUE"""),"Yes")</f>
        <v>Yes</v>
      </c>
    </row>
    <row r="43">
      <c r="A43" s="2" t="str">
        <f>IFERROR(__xludf.DUMMYFUNCTION("""COMPUTED_VALUE"""),"\collect\read\YouTube\TORONGO\_2X8LOMTO_Y\97343b1d-8510-434f-b822-c88584391db5.flac")</f>
        <v>\collect\read\YouTube\TORONGO\_2X8LOMTO_Y\97343b1d-8510-434f-b822-c88584391db5.flac</v>
      </c>
      <c r="B43" s="2">
        <f>IFERROR(__xludf.DUMMYFUNCTION("""COMPUTED_VALUE"""),30.0)</f>
        <v>30</v>
      </c>
      <c r="C43" s="2" t="str">
        <f>IFERROR(__xludf.DUMMYFUNCTION("""COMPUTED_VALUE"""),"মৌসম পণ রয়েছে যেমন আম কাঁঠালের গোলা তো আমরা জানি পাত কাঁঠালের পুষ্টিগণ অনেক বেশি সেক্ষেত্রে পাঁচ বাচ্ছারা ছোট বাচ্ছারা অনেটে আছে ছে কাঁঠাল কে হজম শক্তির কারণে বিভিন্ন সমস্যা ভায় যা মন ফেট বেখা করে তো ইয়ের থেকে পরিত্রণের জন্য বাচ্চারা যদি কাঁঠাল খাওয়ার পরে"&amp;" এমন কোনো খাবার আছে বা এমন কোনো পৌদ্যুতের যে এই পুত্যোগ খাওয়ার পরই যে বাচ্চাদের ফ্রিিটি মেথায় পরবে না বা সে তই এটা সজ্জি করতে পারছে কতে পারেে ে যে কোনো কিছু ফাটে হলে সেটা বিস্তারিত জানাবেন বে")</f>
        <v>মৌসম পণ রয়েছে যেমন আম কাঁঠালের গোলা তো আমরা জানি পাত কাঁঠালের পুষ্টিগণ অনেক বেশি সেক্ষেত্রে পাঁচ বাচ্ছারা ছোট বাচ্ছারা অনেটে আছে ছে কাঁঠাল কে হজম শক্তির কারণে বিভিন্ন সমস্যা ভায় যা মন ফেট বেখা করে তো ইয়ের থেকে পরিত্রণের জন্য বাচ্চারা যদি কাঁঠাল খাওয়ার পরে এমন কোনো খাবার আছে বা এমন কোনো পৌদ্যুতের যে এই পুত্যোগ খাওয়ার পরই যে বাচ্চাদের ফ্রিিটি মেথায় পরবে না বা সে তই এটা সজ্জি করতে পারছে কতে পারেে ে যে কোনো কিছু ফাটে হলে সেটা বিস্তারিত জানাবেন বে</v>
      </c>
      <c r="D43" s="2" t="str">
        <f>IFERROR(__xludf.DUMMYFUNCTION("""COMPUTED_VALUE"""),"Yes")</f>
        <v>Yes</v>
      </c>
      <c r="E43" s="2" t="str">
        <f>IFERROR(__xludf.DUMMYFUNCTION("""COMPUTED_VALUE"""),"Yes")</f>
        <v>Yes</v>
      </c>
      <c r="F43" s="2" t="str">
        <f>IFERROR(__xludf.DUMMYFUNCTION("""COMPUTED_VALUE"""),"Yes")</f>
        <v>Yes</v>
      </c>
      <c r="G43" s="2">
        <f>IFERROR(__xludf.DUMMYFUNCTION("""COMPUTED_VALUE"""),0.0)</f>
        <v>0</v>
      </c>
      <c r="H43" s="2">
        <f>IFERROR(__xludf.DUMMYFUNCTION("""COMPUTED_VALUE"""),0.0)</f>
        <v>0</v>
      </c>
      <c r="I43" s="2">
        <f>IFERROR(__xludf.DUMMYFUNCTION("""COMPUTED_VALUE"""),0.5)</f>
        <v>0.5</v>
      </c>
      <c r="J43" s="2">
        <f>IFERROR(__xludf.DUMMYFUNCTION("""COMPUTED_VALUE"""),0.5)</f>
        <v>0.5</v>
      </c>
      <c r="K43" s="2" t="str">
        <f>IFERROR(__xludf.DUMMYFUNCTION("""COMPUTED_VALUE"""),"4– Usable, minor flaws Minor background noise.")</f>
        <v>4– Usable, minor flaws Minor background noise.</v>
      </c>
      <c r="L43" s="2" t="str">
        <f>IFERROR(__xludf.DUMMYFUNCTION("""COMPUTED_VALUE"""),"No")</f>
        <v>No</v>
      </c>
    </row>
    <row r="44">
      <c r="A44" s="2" t="str">
        <f>IFERROR(__xludf.DUMMYFUNCTION("""COMPUTED_VALUE"""),"\collect\read\YouTube\TORONGO\_2X8LOMTO_Y\992ed1cc-1150-4ee7-914f-dbb9580340ec.flac")</f>
        <v>\collect\read\YouTube\TORONGO\_2X8LOMTO_Y\992ed1cc-1150-4ee7-914f-dbb9580340ec.flac</v>
      </c>
      <c r="B44" s="2">
        <f>IFERROR(__xludf.DUMMYFUNCTION("""COMPUTED_VALUE"""),30.0)</f>
        <v>30</v>
      </c>
      <c r="C44" s="2" t="str">
        <f>IFERROR(__xludf.DUMMYFUNCTION("""COMPUTED_VALUE"""),"স্বাস্থ্যসম্মত কিনা আর সংরক্ষণ করা এই কথাগুলোর উপর ভিত্তি করি তো আপনি গ্রহণ করবেন একটা খাদ্য পেলিয়েন খাব আর যদি কেউ বলেই বসে যেখানে রস রয়েছে ভিটামিনের ফলের রস ফল আদৌ আছে কিনা সেটা কেমিকেল দিয়ে তৈরি আমরা যতগুলো কোমল পানীয় পান করছি কখনো বার্সে লেবুর সাদে কখ"&amp;"নো কমলার সাদে আসল কমলার ছিতে ফোঁটাও নাই লেবুর ছিটি ফোটার নাই সব কেমিক্যাল দিয়ে রাসায়নিক পদার্থ দিয়ে তৈরি আমি কেন রসায়নিক পত নিজে খাব আমার সন্তানদের খাওয়াব এটা অনুচিত নিচ্ছি")</f>
        <v>স্বাস্থ্যসম্মত কিনা আর সংরক্ষণ করা এই কথাগুলোর উপর ভিত্তি করি তো আপনি গ্রহণ করবেন একটা খাদ্য পেলিয়েন খাব আর যদি কেউ বলেই বসে যেখানে রস রয়েছে ভিটামিনের ফলের রস ফল আদৌ আছে কিনা সেটা কেমিকেল দিয়ে তৈরি আমরা যতগুলো কোমল পানীয় পান করছি কখনো বার্সে লেবুর সাদে কখনো কমলার সাদে আসল কমলার ছিতে ফোঁটাও নাই লেবুর ছিটি ফোটার নাই সব কেমিক্যাল দিয়ে রাসায়নিক পদার্থ দিয়ে তৈরি আমি কেন রসায়নিক পত নিজে খাব আমার সন্তানদের খাওয়াব এটা অনুচিত নিচ্ছি</v>
      </c>
      <c r="D44" s="2" t="str">
        <f>IFERROR(__xludf.DUMMYFUNCTION("""COMPUTED_VALUE"""),"Yes")</f>
        <v>Yes</v>
      </c>
      <c r="E44" s="2" t="str">
        <f>IFERROR(__xludf.DUMMYFUNCTION("""COMPUTED_VALUE"""),"No")</f>
        <v>No</v>
      </c>
      <c r="F44" s="2" t="str">
        <f>IFERROR(__xludf.DUMMYFUNCTION("""COMPUTED_VALUE"""),"Yes")</f>
        <v>Yes</v>
      </c>
      <c r="G44" s="2">
        <f>IFERROR(__xludf.DUMMYFUNCTION("""COMPUTED_VALUE"""),0.5)</f>
        <v>0.5</v>
      </c>
      <c r="H44" s="2">
        <f>IFERROR(__xludf.DUMMYFUNCTION("""COMPUTED_VALUE"""),1.0)</f>
        <v>1</v>
      </c>
      <c r="I44" s="2">
        <f>IFERROR(__xludf.DUMMYFUNCTION("""COMPUTED_VALUE"""),0.5)</f>
        <v>0.5</v>
      </c>
      <c r="J44" s="2">
        <f>IFERROR(__xludf.DUMMYFUNCTION("""COMPUTED_VALUE"""),1.0)</f>
        <v>1</v>
      </c>
      <c r="K44" s="2" t="str">
        <f>IFERROR(__xludf.DUMMYFUNCTION("""COMPUTED_VALUE"""),"5 – High-quality, Clean Bangla speech")</f>
        <v>5 – High-quality, Clean Bangla speech</v>
      </c>
      <c r="L44" s="2" t="str">
        <f>IFERROR(__xludf.DUMMYFUNCTION("""COMPUTED_VALUE"""),"No")</f>
        <v>No</v>
      </c>
    </row>
    <row r="45">
      <c r="A45" s="2" t="str">
        <f>IFERROR(__xludf.DUMMYFUNCTION("""COMPUTED_VALUE"""),"\collect\read\YouTube\TORONGO\_2X8LOMTO_Y\9c2fb960-3c31-4bbf-98fd-028036a7b3a6.flac")</f>
        <v>\collect\read\YouTube\TORONGO\_2X8LOMTO_Y\9c2fb960-3c31-4bbf-98fd-028036a7b3a6.flac</v>
      </c>
      <c r="B45" s="2">
        <f>IFERROR(__xludf.DUMMYFUNCTION("""COMPUTED_VALUE"""),30.0)</f>
        <v>30</v>
      </c>
      <c r="C45" s="2" t="str">
        <f>IFERROR(__xludf.DUMMYFUNCTION("""COMPUTED_VALUE"""),"ে বারবার বলি এবং যারা এ তথ্য শুনছেন তার অন্য কেউ জানাবেন আমাদের উদ্দেশ্য হচ্ছে এই ক্যাম্পেইনের উদ্দেশ্য হচ্ছে প্রচার প্রচারণা অনেকে হাতে ব্যস্ত থাকেন মনে থাকে না মনে করিয়ে দেবেন যারা দোকানি কোনো জিনিস কিনছেন সেখানেও জানিয়ে দিবেন দোকানিও পাললে বেচাকেনার সম"&amp;"য় কিছু তথ্য জানাবেন আর এই অভ্যাসটা আমাদের সভাব ভিতর আখতে হবে প্রচার প্রচারণার নানা ব্যবস্থাপনা করা হয়েছে এরই মধ্যে সুতরাং এই আলোকে আজকে আমরা কথা বলব আমাদের সাথে রয়েছেন সম্মানিত দুজন আলোচক স্টুরেতারা আছেন হ")</f>
        <v>ে বারবার বলি এবং যারা এ তথ্য শুনছেন তার অন্য কেউ জানাবেন আমাদের উদ্দেশ্য হচ্ছে এই ক্যাম্পেইনের উদ্দেশ্য হচ্ছে প্রচার প্রচারণা অনেকে হাতে ব্যস্ত থাকেন মনে থাকে না মনে করিয়ে দেবেন যারা দোকানি কোনো জিনিস কিনছেন সেখানেও জানিয়ে দিবেন দোকানিও পাললে বেচাকেনার সময় কিছু তথ্য জানাবেন আর এই অভ্যাসটা আমাদের সভাব ভিতর আখতে হবে প্রচার প্রচারণার নানা ব্যবস্থাপনা করা হয়েছে এরই মধ্যে সুতরাং এই আলোকে আজকে আমরা কথা বলব আমাদের সাথে রয়েছেন সম্মানিত দুজন আলোচক স্টুরেতারা আছেন হ</v>
      </c>
      <c r="D45" s="2" t="str">
        <f>IFERROR(__xludf.DUMMYFUNCTION("""COMPUTED_VALUE"""),"Yes")</f>
        <v>Yes</v>
      </c>
      <c r="E45" s="2" t="str">
        <f>IFERROR(__xludf.DUMMYFUNCTION("""COMPUTED_VALUE"""),"No")</f>
        <v>No</v>
      </c>
      <c r="F45" s="2" t="str">
        <f>IFERROR(__xludf.DUMMYFUNCTION("""COMPUTED_VALUE"""),"Yes")</f>
        <v>Yes</v>
      </c>
      <c r="G45" s="2">
        <f>IFERROR(__xludf.DUMMYFUNCTION("""COMPUTED_VALUE"""),1.0)</f>
        <v>1</v>
      </c>
      <c r="H45" s="2">
        <f>IFERROR(__xludf.DUMMYFUNCTION("""COMPUTED_VALUE"""),0.5)</f>
        <v>0.5</v>
      </c>
      <c r="I45" s="2">
        <f>IFERROR(__xludf.DUMMYFUNCTION("""COMPUTED_VALUE"""),1.0)</f>
        <v>1</v>
      </c>
      <c r="J45" s="2">
        <f>IFERROR(__xludf.DUMMYFUNCTION("""COMPUTED_VALUE"""),0.5)</f>
        <v>0.5</v>
      </c>
      <c r="K45" s="2" t="str">
        <f>IFERROR(__xludf.DUMMYFUNCTION("""COMPUTED_VALUE"""),"5 – High-quality, Clean Bangla speech")</f>
        <v>5 – High-quality, Clean Bangla speech</v>
      </c>
      <c r="L45" s="2" t="str">
        <f>IFERROR(__xludf.DUMMYFUNCTION("""COMPUTED_VALUE"""),"Yes")</f>
        <v>Yes</v>
      </c>
    </row>
    <row r="46">
      <c r="A46" s="2" t="str">
        <f>IFERROR(__xludf.DUMMYFUNCTION("""COMPUTED_VALUE"""),"\collect\read\YouTube\TORONGO\_2X8LOMTO_Y\9da35471-582b-41b7-9deb-b27023e7011a.flac")</f>
        <v>\collect\read\YouTube\TORONGO\_2X8LOMTO_Y\9da35471-582b-41b7-9deb-b27023e7011a.flac</v>
      </c>
      <c r="B46" s="2">
        <f>IFERROR(__xludf.DUMMYFUNCTION("""COMPUTED_VALUE"""),30.0)</f>
        <v>30</v>
      </c>
      <c r="C46" s="2" t="str">
        <f>IFERROR(__xludf.DUMMYFUNCTION("""COMPUTED_VALUE"""),"জকররিতা এটা করি কিন্ত কিছিই থাকে না সুতরাং এক্ষেত্রে আমাদেরকে কেন্দ্রে নিয়ে গিয়ে স্বাস্থ্যবিধি মেনে আমাদের কিন্তু এইে ভিটামিন এটা খাওয়া নাই ক্যাপসুলটা গোটা খাইয়ে দেয় এখানে যে চমৎকার এগুলো হচ্ছে এগুলোর জন্য প্রশিক্ষণপ্রাপ্ত যারা আছেন তারা কিন্তু কাচি দিয়ে "&amp;"সুন্দর করে কেটে কাজের ভেতরে যে রহস্য আছে বা ড্রপট আছে সেটাই খাওয়েদের চেপে এবং এই যে নীল ক্যাপসুলের ব্যাপারটা আমি বলেছি নীল ক্যাপসুলে পুরা রসটা খাওয়ালে কেটে কাচে দিয়ে কাটার পর সেটাকে আমরা এক লাখ মিনিট বলি এবং এটা ছয়")</f>
        <v>জকররিতা এটা করি কিন্ত কিছিই থাকে না সুতরাং এক্ষেত্রে আমাদেরকে কেন্দ্রে নিয়ে গিয়ে স্বাস্থ্যবিধি মেনে আমাদের কিন্তু এইে ভিটামিন এটা খাওয়া নাই ক্যাপসুলটা গোটা খাইয়ে দেয় এখানে যে চমৎকার এগুলো হচ্ছে এগুলোর জন্য প্রশিক্ষণপ্রাপ্ত যারা আছেন তারা কিন্তু কাচি দিয়ে সুন্দর করে কেটে কাজের ভেতরে যে রহস্য আছে বা ড্রপট আছে সেটাই খাওয়েদের চেপে এবং এই যে নীল ক্যাপসুলের ব্যাপারটা আমি বলেছি নীল ক্যাপসুলে পুরা রসটা খাওয়ালে কেটে কাচে দিয়ে কাটার পর সেটাকে আমরা এক লাখ মিনিট বলি এবং এটা ছয়</v>
      </c>
      <c r="D46" s="2" t="str">
        <f>IFERROR(__xludf.DUMMYFUNCTION("""COMPUTED_VALUE"""),"Yes")</f>
        <v>Yes</v>
      </c>
      <c r="E46" s="2" t="str">
        <f>IFERROR(__xludf.DUMMYFUNCTION("""COMPUTED_VALUE"""),"No")</f>
        <v>No</v>
      </c>
      <c r="F46" s="2" t="str">
        <f>IFERROR(__xludf.DUMMYFUNCTION("""COMPUTED_VALUE"""),"Yes")</f>
        <v>Yes</v>
      </c>
      <c r="G46" s="2">
        <f>IFERROR(__xludf.DUMMYFUNCTION("""COMPUTED_VALUE"""),1.0)</f>
        <v>1</v>
      </c>
      <c r="H46" s="2">
        <f>IFERROR(__xludf.DUMMYFUNCTION("""COMPUTED_VALUE"""),1.0)</f>
        <v>1</v>
      </c>
      <c r="I46" s="2">
        <f>IFERROR(__xludf.DUMMYFUNCTION("""COMPUTED_VALUE"""),1.0)</f>
        <v>1</v>
      </c>
      <c r="J46" s="2">
        <f>IFERROR(__xludf.DUMMYFUNCTION("""COMPUTED_VALUE"""),1.0)</f>
        <v>1</v>
      </c>
      <c r="K46" s="2" t="str">
        <f>IFERROR(__xludf.DUMMYFUNCTION("""COMPUTED_VALUE"""),"5 – High-quality, Clean Bangla speech")</f>
        <v>5 – High-quality, Clean Bangla speech</v>
      </c>
      <c r="L46" s="2" t="str">
        <f>IFERROR(__xludf.DUMMYFUNCTION("""COMPUTED_VALUE"""),"No")</f>
        <v>No</v>
      </c>
    </row>
    <row r="47">
      <c r="A47" s="2" t="str">
        <f>IFERROR(__xludf.DUMMYFUNCTION("""COMPUTED_VALUE"""),"\collect\read\YouTube\TORONGO\_2X8LOMTO_Y\9de76f02-a803-48d7-9bcc-aa4762458355.flac")</f>
        <v>\collect\read\YouTube\TORONGO\_2X8LOMTO_Y\9de76f02-a803-48d7-9bcc-aa4762458355.flac</v>
      </c>
      <c r="B47" s="2">
        <f>IFERROR(__xludf.DUMMYFUNCTION("""COMPUTED_VALUE"""),30.0)</f>
        <v>30</v>
      </c>
      <c r="C47" s="2" t="str">
        <f>IFERROR(__xludf.DUMMYFUNCTION("""COMPUTED_VALUE"""),"পুষ্টিবার্তা এগুলো আমরা কিন্তু সাথে পৌঁছে দেয় এবং ভিটামিন এটা আমরা বাচ্চাদেরকে সাপ্লিমেন্ট হিসেবে প্রতিবছর দুইবার করে ঘুরে থাকে এই মহামারগালেন সময়ে আপনি দেখেন যে আমাদের বিভিন্ন রেস্ট্রিকশনের মাধ্যমে আমরা কিন্তু গত এক বছর দুইবছর ধরে জনস্বাস্থ্য পুষ্টি প্রত"&amp;"িষ্ঠান এই প্রোগ্রামটা কিন্তু চালু রেখেছেন এবং সেজন্য আমি বারবার উনাদেরকে সাধুবাদ জানাচ্ছি এবং এখানে নিয়ম মেনে প্রত্রত্যেকটা জায়গায় যেখানে প্ল্যাগ আছে এখানে রা স্বাস্থ্যবিধি মেনে প্রোপারলি একদম কিভাবে খাওয়া বেটাও বেশিরকমস")</f>
        <v>পুষ্টিবার্তা এগুলো আমরা কিন্তু সাথে পৌঁছে দেয় এবং ভিটামিন এটা আমরা বাচ্চাদেরকে সাপ্লিমেন্ট হিসেবে প্রতিবছর দুইবার করে ঘুরে থাকে এই মহামারগালেন সময়ে আপনি দেখেন যে আমাদের বিভিন্ন রেস্ট্রিকশনের মাধ্যমে আমরা কিন্তু গত এক বছর দুইবছর ধরে জনস্বাস্থ্য পুষ্টি প্রতিষ্ঠান এই প্রোগ্রামটা কিন্তু চালু রেখেছেন এবং সেজন্য আমি বারবার উনাদেরকে সাধুবাদ জানাচ্ছি এবং এখানে নিয়ম মেনে প্রত্রত্যেকটা জায়গায় যেখানে প্ল্যাগ আছে এখানে রা স্বাস্থ্যবিধি মেনে প্রোপারলি একদম কিভাবে খাওয়া বেটাও বেশিরকমস</v>
      </c>
      <c r="D47" s="2" t="str">
        <f>IFERROR(__xludf.DUMMYFUNCTION("""COMPUTED_VALUE"""),"Yes")</f>
        <v>Yes</v>
      </c>
      <c r="E47" s="2" t="str">
        <f>IFERROR(__xludf.DUMMYFUNCTION("""COMPUTED_VALUE"""),"No")</f>
        <v>No</v>
      </c>
      <c r="F47" s="2" t="str">
        <f>IFERROR(__xludf.DUMMYFUNCTION("""COMPUTED_VALUE"""),"Yes")</f>
        <v>Yes</v>
      </c>
      <c r="G47" s="2">
        <f>IFERROR(__xludf.DUMMYFUNCTION("""COMPUTED_VALUE"""),0.5)</f>
        <v>0.5</v>
      </c>
      <c r="H47" s="2">
        <f>IFERROR(__xludf.DUMMYFUNCTION("""COMPUTED_VALUE"""),0.5)</f>
        <v>0.5</v>
      </c>
      <c r="I47" s="2">
        <f>IFERROR(__xludf.DUMMYFUNCTION("""COMPUTED_VALUE"""),0.5)</f>
        <v>0.5</v>
      </c>
      <c r="J47" s="2">
        <f>IFERROR(__xludf.DUMMYFUNCTION("""COMPUTED_VALUE"""),0.5)</f>
        <v>0.5</v>
      </c>
      <c r="K47" s="2" t="str">
        <f>IFERROR(__xludf.DUMMYFUNCTION("""COMPUTED_VALUE"""),"5 – High-quality, Clean Bangla speech")</f>
        <v>5 – High-quality, Clean Bangla speech</v>
      </c>
      <c r="L47" s="2" t="str">
        <f>IFERROR(__xludf.DUMMYFUNCTION("""COMPUTED_VALUE"""),"No")</f>
        <v>No</v>
      </c>
    </row>
    <row r="48">
      <c r="A48" s="2" t="str">
        <f>IFERROR(__xludf.DUMMYFUNCTION("""COMPUTED_VALUE"""),"\collect\read\YouTube\TORONGO\_2X8LOMTO_Y\a9a39570-d10b-4535-b814-596cdb9d06b4.flac")</f>
        <v>\collect\read\YouTube\TORONGO\_2X8LOMTO_Y\a9a39570-d10b-4535-b814-596cdb9d06b4.flac</v>
      </c>
      <c r="B48" s="2">
        <f>IFERROR(__xludf.DUMMYFUNCTION("""COMPUTED_VALUE"""),30.0)</f>
        <v>30</v>
      </c>
      <c r="C48" s="2" t="str">
        <f>IFERROR(__xludf.DUMMYFUNCTION("""COMPUTED_VALUE"""),"আশেপাশে আছেন তাছাড়া আমাদের যে পাড়া মহল্লা সচেতন ব্যক্তিবর্গ আছেন মান্য কোনো ব্যক্তিগর্গ আছেন তারাও কিন্তু উদ্যোগ নিয়ে মানে এই কাজ্যক্রটা যা পরিচালনা করতে পারে ধন্যবাদ এবং ব্যাপারটা এত সহজে প্রতিবছরই হচ্ছে আমাদের প্রয়োজন ব্যক্তি পর্যায়ে সচেতনতা পাঁচই জুন থ"&amp;"েকে উনিশে জুন পর্যন্ত এটা বিতরণ করা হবে এবং প্রচার প্রচারণার ব্যবস্থা কিন্তু করা হয়েছে বিভিন্ন উপাসনালয় প্রার্থনা কেন্দ্র মসজিদে এগুলো জানা হবে জান")</f>
        <v>আশেপাশে আছেন তাছাড়া আমাদের যে পাড়া মহল্লা সচেতন ব্যক্তিবর্গ আছেন মান্য কোনো ব্যক্তিগর্গ আছেন তারাও কিন্তু উদ্যোগ নিয়ে মানে এই কাজ্যক্রটা যা পরিচালনা করতে পারে ধন্যবাদ এবং ব্যাপারটা এত সহজে প্রতিবছরই হচ্ছে আমাদের প্রয়োজন ব্যক্তি পর্যায়ে সচেতনতা পাঁচই জুন থেকে উনিশে জুন পর্যন্ত এটা বিতরণ করা হবে এবং প্রচার প্রচারণার ব্যবস্থা কিন্তু করা হয়েছে বিভিন্ন উপাসনালয় প্রার্থনা কেন্দ্র মসজিদে এগুলো জানা হবে জান</v>
      </c>
      <c r="D48" s="2" t="str">
        <f>IFERROR(__xludf.DUMMYFUNCTION("""COMPUTED_VALUE"""),"Yes")</f>
        <v>Yes</v>
      </c>
      <c r="E48" s="2" t="str">
        <f>IFERROR(__xludf.DUMMYFUNCTION("""COMPUTED_VALUE"""),"No")</f>
        <v>No</v>
      </c>
      <c r="F48" s="2" t="str">
        <f>IFERROR(__xludf.DUMMYFUNCTION("""COMPUTED_VALUE"""),"No")</f>
        <v>No</v>
      </c>
      <c r="G48" s="2">
        <f>IFERROR(__xludf.DUMMYFUNCTION("""COMPUTED_VALUE"""),1.0)</f>
        <v>1</v>
      </c>
      <c r="H48" s="2">
        <f>IFERROR(__xludf.DUMMYFUNCTION("""COMPUTED_VALUE"""),1.0)</f>
        <v>1</v>
      </c>
      <c r="I48" s="2">
        <f>IFERROR(__xludf.DUMMYFUNCTION("""COMPUTED_VALUE"""),1.0)</f>
        <v>1</v>
      </c>
      <c r="J48" s="2">
        <f>IFERROR(__xludf.DUMMYFUNCTION("""COMPUTED_VALUE"""),1.0)</f>
        <v>1</v>
      </c>
      <c r="K48" s="2" t="str">
        <f>IFERROR(__xludf.DUMMYFUNCTION("""COMPUTED_VALUE"""),"5 – High-quality, Clean Bangla speech")</f>
        <v>5 – High-quality, Clean Bangla speech</v>
      </c>
      <c r="L48" s="2" t="str">
        <f>IFERROR(__xludf.DUMMYFUNCTION("""COMPUTED_VALUE"""),"No")</f>
        <v>No</v>
      </c>
    </row>
    <row r="49">
      <c r="A49" s="2" t="str">
        <f>IFERROR(__xludf.DUMMYFUNCTION("""COMPUTED_VALUE"""),"\collect\read\YouTube\TORONGO\_2X8LOMTO_Y\adc62ef4-dd22-47d3-879f-5dd5eabdd7bf.flac")</f>
        <v>\collect\read\YouTube\TORONGO\_2X8LOMTO_Y\adc62ef4-dd22-47d3-879f-5dd5eabdd7bf.flac</v>
      </c>
      <c r="B49" s="2">
        <f>IFERROR(__xludf.DUMMYFUNCTION("""COMPUTED_VALUE"""),30.0)</f>
        <v>30</v>
      </c>
      <c r="C49" s="2" t="str">
        <f>IFERROR(__xludf.DUMMYFUNCTION("""COMPUTED_VALUE"""),"জানিডি ডাক্তার মুরাদ মোহাম্মদ শামসের তাজবির খান ডেপুটি প্রোগ্রাম ম্যানেজার জাতীয় পুষ্টি সেবা মহাকালে ঢাকা এবং রয়েছেন ডাক্তার রিজওয়ানা স্যার বিপুল যিনি সহকারী অধ্যাপক বিট শিশু বশেষজ্ঞ ঢাকা শিশু হাসপাতালের কর্মরত রয়েছেন দুজনকেই স্বাগত যদিও এর মাঝে ডাক্তার ম"&amp;"ুরাদ এখনো এসে পৌঁছেনি ওতিনি পথে আছেন পৌঁছে দেবেন দেখা হবে তখনই আপনারা অনলাইনে আছেন প্রিয় শ্রোতা")</f>
        <v>জানিডি ডাক্তার মুরাদ মোহাম্মদ শামসের তাজবির খান ডেপুটি প্রোগ্রাম ম্যানেজার জাতীয় পুষ্টি সেবা মহাকালে ঢাকা এবং রয়েছেন ডাক্তার রিজওয়ানা স্যার বিপুল যিনি সহকারী অধ্যাপক বিট শিশু বশেষজ্ঞ ঢাকা শিশু হাসপাতালের কর্মরত রয়েছেন দুজনকেই স্বাগত যদিও এর মাঝে ডাক্তার মুরাদ এখনো এসে পৌঁছেনি ওতিনি পথে আছেন পৌঁছে দেবেন দেখা হবে তখনই আপনারা অনলাইনে আছেন প্রিয় শ্রোতা</v>
      </c>
      <c r="D49" s="2" t="str">
        <f>IFERROR(__xludf.DUMMYFUNCTION("""COMPUTED_VALUE"""),"Yes")</f>
        <v>Yes</v>
      </c>
      <c r="E49" s="2" t="str">
        <f>IFERROR(__xludf.DUMMYFUNCTION("""COMPUTED_VALUE"""),"No")</f>
        <v>No</v>
      </c>
      <c r="F49" s="2" t="str">
        <f>IFERROR(__xludf.DUMMYFUNCTION("""COMPUTED_VALUE"""),"No")</f>
        <v>No</v>
      </c>
      <c r="G49" s="2">
        <f>IFERROR(__xludf.DUMMYFUNCTION("""COMPUTED_VALUE"""),1.0)</f>
        <v>1</v>
      </c>
      <c r="H49" s="2">
        <f>IFERROR(__xludf.DUMMYFUNCTION("""COMPUTED_VALUE"""),1.0)</f>
        <v>1</v>
      </c>
      <c r="I49" s="2">
        <f>IFERROR(__xludf.DUMMYFUNCTION("""COMPUTED_VALUE"""),1.0)</f>
        <v>1</v>
      </c>
      <c r="J49" s="2">
        <f>IFERROR(__xludf.DUMMYFUNCTION("""COMPUTED_VALUE"""),1.0)</f>
        <v>1</v>
      </c>
      <c r="K49" s="2" t="str">
        <f>IFERROR(__xludf.DUMMYFUNCTION("""COMPUTED_VALUE"""),"5 – High-quality, Clean Bangla speech")</f>
        <v>5 – High-quality, Clean Bangla speech</v>
      </c>
      <c r="L49" s="2" t="str">
        <f>IFERROR(__xludf.DUMMYFUNCTION("""COMPUTED_VALUE"""),"No")</f>
        <v>No</v>
      </c>
    </row>
    <row r="50">
      <c r="A50" s="2" t="str">
        <f>IFERROR(__xludf.DUMMYFUNCTION("""COMPUTED_VALUE"""),"\collect\read\YouTube\TORONGO\_2X8LOMTO_Y\aed2f0ee-3611-43c4-a2b0-f22b3a1e787f.flac")</f>
        <v>\collect\read\YouTube\TORONGO\_2X8LOMTO_Y\aed2f0ee-3611-43c4-a2b0-f22b3a1e787f.flac</v>
      </c>
      <c r="B50" s="2">
        <f>IFERROR(__xludf.DUMMYFUNCTION("""COMPUTED_VALUE"""),30.0)</f>
        <v>30</v>
      </c>
      <c r="C50" s="2" t="str">
        <f>IFERROR(__xludf.DUMMYFUNCTION("""COMPUTED_VALUE"""),"স্বাস্থ্য কেন্দ্রতে আমরা এখনো যে করোনাকানীন সময় আমরা কিন্তু নির্জিষ্ট করে দিয়েছি এবং এগুলো সারা বাংলাদেশব্যাপী কিন্তু এখন সাাবিশ্বভাবে মানে সাবধানতার সাথে যাতে করোনা মহামারি গ্রামের মোকাবেলার পাশাপাশি এ ক্যাম্পেইনটা চালু করতে পারি সেজন্য স্বাস্থ্য কেন্দ্র"&amp;"গুলোতে এবং আশেরপাশে প্রত্যন্ত অঞ্চলে কিন্তু এখন স্বাস্থ্য কেন্দ্র আছে উপজেলার হেলথ কমপ্লেক্স আছে সো আমরা যেখানে এই যে সোনামনির ফ্ল্যাটটা দেখতে পাবো ভিটামিন এ প্লাস ক্যাম্পেইন আপনা শিশুকে ভিটামিন এ খাওয়ান সেখানে কিন্তু আমরা নিয়ে গিয়ে আপনার বিরুদ্ দেখবে ন আ"&amp;"পনি")</f>
        <v>স্বাস্থ্য কেন্দ্রতে আমরা এখনো যে করোনাকানীন সময় আমরা কিন্তু নির্জিষ্ট করে দিয়েছি এবং এগুলো সারা বাংলাদেশব্যাপী কিন্তু এখন সাাবিশ্বভাবে মানে সাবধানতার সাথে যাতে করোনা মহামারি গ্রামের মোকাবেলার পাশাপাশি এ ক্যাম্পেইনটা চালু করতে পারি সেজন্য স্বাস্থ্য কেন্দ্রগুলোতে এবং আশেরপাশে প্রত্যন্ত অঞ্চলে কিন্তু এখন স্বাস্থ্য কেন্দ্র আছে উপজেলার হেলথ কমপ্লেক্স আছে সো আমরা যেখানে এই যে সোনামনির ফ্ল্যাটটা দেখতে পাবো ভিটামিন এ প্লাস ক্যাম্পেইন আপনা শিশুকে ভিটামিন এ খাওয়ান সেখানে কিন্তু আমরা নিয়ে গিয়ে আপনার বিরুদ্ দেখবে ন আপনি</v>
      </c>
      <c r="D50" s="2" t="str">
        <f>IFERROR(__xludf.DUMMYFUNCTION("""COMPUTED_VALUE"""),"Yes")</f>
        <v>Yes</v>
      </c>
      <c r="E50" s="2" t="str">
        <f>IFERROR(__xludf.DUMMYFUNCTION("""COMPUTED_VALUE"""),"No")</f>
        <v>No</v>
      </c>
      <c r="F50" s="2" t="str">
        <f>IFERROR(__xludf.DUMMYFUNCTION("""COMPUTED_VALUE"""),"Yes")</f>
        <v>Yes</v>
      </c>
      <c r="G50" s="2">
        <f>IFERROR(__xludf.DUMMYFUNCTION("""COMPUTED_VALUE"""),0.5)</f>
        <v>0.5</v>
      </c>
      <c r="H50" s="2">
        <f>IFERROR(__xludf.DUMMYFUNCTION("""COMPUTED_VALUE"""),1.0)</f>
        <v>1</v>
      </c>
      <c r="I50" s="2">
        <f>IFERROR(__xludf.DUMMYFUNCTION("""COMPUTED_VALUE"""),1.0)</f>
        <v>1</v>
      </c>
      <c r="J50" s="2">
        <f>IFERROR(__xludf.DUMMYFUNCTION("""COMPUTED_VALUE"""),0.5)</f>
        <v>0.5</v>
      </c>
      <c r="K50" s="2" t="str">
        <f>IFERROR(__xludf.DUMMYFUNCTION("""COMPUTED_VALUE"""),"5 – High-quality, Clean Bangla speech")</f>
        <v>5 – High-quality, Clean Bangla speech</v>
      </c>
      <c r="L50" s="2" t="str">
        <f>IFERROR(__xludf.DUMMYFUNCTION("""COMPUTED_VALUE"""),"No")</f>
        <v>No</v>
      </c>
    </row>
    <row r="51">
      <c r="A51" s="2" t="str">
        <f>IFERROR(__xludf.DUMMYFUNCTION("""COMPUTED_VALUE"""),"\collect\read\YouTube\TORONGO\_2X8LOMTO_Y\b0140eaf-3a8d-4570-99e0-f3b280351f4c.flac")</f>
        <v>\collect\read\YouTube\TORONGO\_2X8LOMTO_Y\b0140eaf-3a8d-4570-99e0-f3b280351f4c.flac</v>
      </c>
      <c r="B51" s="2">
        <f>IFERROR(__xludf.DUMMYFUNCTION("""COMPUTED_VALUE"""),30.0)</f>
        <v>30</v>
      </c>
      <c r="C51" s="2" t="str">
        <f>IFERROR(__xludf.DUMMYFUNCTION("""COMPUTED_VALUE"""),"ওষুধ আকারে খাবো সেটা কিন্তু আমাদের কাছে মনে হচ্ছে কি আমরা ভিটামিনটা ওষুধ হিসেবে খাচ্ছি যেগুলো আমরা শাকসবজি বা ফলবুলের মাধ্যমে খাবো এবং এটা থেকে আমার ওষুধটা খেতে হবে না তাহলে কিন্তু বাড়তি একটা মানুষিক চাপ থেকেও আমরা মুক্ত থাকতে পারি সো আমার মনে হয় যে শাকসব"&amp;"জি ফলমূল এগুলো বেশি ককরে খাওয়া উচিত তাহলে আমরা বাচ্চা থেকে ভিটামিন কিনা আর খেত হবে না এবং এটা শুধু ভিটামিন এর অভাব পূরণ করবেন এটা হচ্ছে ভিটামিন ডি ভিটামিন সি সবকিছু থেকে আপনাকে সাপ্লিমেন্ট দিবে এই যে শাকসবজি এবং ফলমূজ এবং আমাদের যে পুষ্টিকর খাবারগুলো আছে "&amp;"প্রাণিজ")</f>
        <v>ওষুধ আকারে খাবো সেটা কিন্তু আমাদের কাছে মনে হচ্ছে কি আমরা ভিটামিনটা ওষুধ হিসেবে খাচ্ছি যেগুলো আমরা শাকসবজি বা ফলবুলের মাধ্যমে খাবো এবং এটা থেকে আমার ওষুধটা খেতে হবে না তাহলে কিন্তু বাড়তি একটা মানুষিক চাপ থেকেও আমরা মুক্ত থাকতে পারি সো আমার মনে হয় যে শাকসবজি ফলমূল এগুলো বেশি ককরে খাওয়া উচিত তাহলে আমরা বাচ্চা থেকে ভিটামিন কিনা আর খেত হবে না এবং এটা শুধু ভিটামিন এর অভাব পূরণ করবেন এটা হচ্ছে ভিটামিন ডি ভিটামিন সি সবকিছু থেকে আপনাকে সাপ্লিমেন্ট দিবে এই যে শাকসবজি এবং ফলমূজ এবং আমাদের যে পুষ্টিকর খাবারগুলো আছে প্রাণিজ</v>
      </c>
      <c r="D51" s="2" t="str">
        <f>IFERROR(__xludf.DUMMYFUNCTION("""COMPUTED_VALUE"""),"Yes")</f>
        <v>Yes</v>
      </c>
      <c r="E51" s="2" t="str">
        <f>IFERROR(__xludf.DUMMYFUNCTION("""COMPUTED_VALUE"""),"No")</f>
        <v>No</v>
      </c>
      <c r="F51" s="2" t="str">
        <f>IFERROR(__xludf.DUMMYFUNCTION("""COMPUTED_VALUE"""),"Yes")</f>
        <v>Yes</v>
      </c>
      <c r="G51" s="2">
        <f>IFERROR(__xludf.DUMMYFUNCTION("""COMPUTED_VALUE"""),0.5)</f>
        <v>0.5</v>
      </c>
      <c r="H51" s="2">
        <f>IFERROR(__xludf.DUMMYFUNCTION("""COMPUTED_VALUE"""),1.0)</f>
        <v>1</v>
      </c>
      <c r="I51" s="2">
        <f>IFERROR(__xludf.DUMMYFUNCTION("""COMPUTED_VALUE"""),1.0)</f>
        <v>1</v>
      </c>
      <c r="J51" s="2">
        <f>IFERROR(__xludf.DUMMYFUNCTION("""COMPUTED_VALUE"""),1.0)</f>
        <v>1</v>
      </c>
      <c r="K51" s="2" t="str">
        <f>IFERROR(__xludf.DUMMYFUNCTION("""COMPUTED_VALUE"""),"5 – High-quality, Clean Bangla speech")</f>
        <v>5 – High-quality, Clean Bangla speech</v>
      </c>
      <c r="L51" s="2" t="str">
        <f>IFERROR(__xludf.DUMMYFUNCTION("""COMPUTED_VALUE"""),"No")</f>
        <v>No</v>
      </c>
    </row>
    <row r="52">
      <c r="A52" s="2" t="str">
        <f>IFERROR(__xludf.DUMMYFUNCTION("""COMPUTED_VALUE"""),"\collect\read\YouTube\TORONGO\_2X8LOMTO_Y\b410cee8-b629-45b0-93f3-e9d37bfafefd.flac")</f>
        <v>\collect\read\YouTube\TORONGO\_2X8LOMTO_Y\b410cee8-b629-45b0-93f3-e9d37bfafefd.flac</v>
      </c>
      <c r="B52" s="2">
        <f>IFERROR(__xludf.DUMMYFUNCTION("""COMPUTED_VALUE"""),30.0)</f>
        <v>30</v>
      </c>
      <c r="C52" s="2" t="str">
        <f>IFERROR(__xludf.DUMMYFUNCTION("""COMPUTED_VALUE"""),"সজেগুলো আছে সেগুলো আছে যেমন মুরগি গরিব এবং কলিজাতালা তারপর হচ্ছে খাসির মাংস মুর্দির মাংস যেগুণ আমরা বলি তারপর দিম দূধ যেগুলো আছে সো আমাদের খাদ্যদ্রব্যের মাধ্যমে যদি আমরা গ্রহণ করতে পারি তাহলে এক্সটা কিন্তু ভিটামিন এ ভিটামিন খাওয়ার কোনো দরকার নেই ধন্যবাদ আ"&amp;"মাদের অতীত ইতিহাসে ঘাঁটলে পৃথিবীর শুরুর পর থেকে বোধ হয় যখন প্রাণী বা প্রাণীযা ছিলেন সবাই কিন্তু আশেপাশে খাদ্যই গ্রহণ করতো সুতরান")</f>
        <v>সজেগুলো আছে সেগুলো আছে যেমন মুরগি গরিব এবং কলিজাতালা তারপর হচ্ছে খাসির মাংস মুর্দির মাংস যেগুণ আমরা বলি তারপর দিম দূধ যেগুলো আছে সো আমাদের খাদ্যদ্রব্যের মাধ্যমে যদি আমরা গ্রহণ করতে পারি তাহলে এক্সটা কিন্তু ভিটামিন এ ভিটামিন খাওয়ার কোনো দরকার নেই ধন্যবাদ আমাদের অতীত ইতিহাসে ঘাঁটলে পৃথিবীর শুরুর পর থেকে বোধ হয় যখন প্রাণী বা প্রাণীযা ছিলেন সবাই কিন্তু আশেপাশে খাদ্যই গ্রহণ করতো সুতরান</v>
      </c>
      <c r="D52" s="2" t="str">
        <f>IFERROR(__xludf.DUMMYFUNCTION("""COMPUTED_VALUE"""),"Yes")</f>
        <v>Yes</v>
      </c>
      <c r="E52" s="2" t="str">
        <f>IFERROR(__xludf.DUMMYFUNCTION("""COMPUTED_VALUE"""),"No")</f>
        <v>No</v>
      </c>
      <c r="F52" s="2" t="str">
        <f>IFERROR(__xludf.DUMMYFUNCTION("""COMPUTED_VALUE"""),"No")</f>
        <v>No</v>
      </c>
      <c r="G52" s="2">
        <f>IFERROR(__xludf.DUMMYFUNCTION("""COMPUTED_VALUE"""),1.0)</f>
        <v>1</v>
      </c>
      <c r="H52" s="2">
        <f>IFERROR(__xludf.DUMMYFUNCTION("""COMPUTED_VALUE"""),1.0)</f>
        <v>1</v>
      </c>
      <c r="I52" s="2">
        <f>IFERROR(__xludf.DUMMYFUNCTION("""COMPUTED_VALUE"""),1.0)</f>
        <v>1</v>
      </c>
      <c r="J52" s="2">
        <f>IFERROR(__xludf.DUMMYFUNCTION("""COMPUTED_VALUE"""),1.0)</f>
        <v>1</v>
      </c>
      <c r="K52" s="2" t="str">
        <f>IFERROR(__xludf.DUMMYFUNCTION("""COMPUTED_VALUE"""),"5 – High-quality, Clean Bangla speech")</f>
        <v>5 – High-quality, Clean Bangla speech</v>
      </c>
      <c r="L52" s="2" t="str">
        <f>IFERROR(__xludf.DUMMYFUNCTION("""COMPUTED_VALUE"""),"No")</f>
        <v>No</v>
      </c>
    </row>
    <row r="53">
      <c r="A53" s="2" t="str">
        <f>IFERROR(__xludf.DUMMYFUNCTION("""COMPUTED_VALUE"""),"\collect\read\YouTube\TORONGO\_2X8LOMTO_Y\b74044e0-2234-4688-9ba8-68fefe7f7f91.flac")</f>
        <v>\collect\read\YouTube\TORONGO\_2X8LOMTO_Y\b74044e0-2234-4688-9ba8-68fefe7f7f91.flac</v>
      </c>
      <c r="B53" s="2">
        <f>IFERROR(__xludf.DUMMYFUNCTION("""COMPUTED_VALUE"""),30.0)</f>
        <v>30</v>
      </c>
      <c r="C53" s="2" t="str">
        <f>IFERROR(__xludf.DUMMYFUNCTION("""COMPUTED_VALUE"""),"বাচ্চাদের পর্যন্ত মানে এখানে পছন্দ করে থাকি এবং টার্গেট করে আমরা এদেরকে ভিটামিনে প্লাস ক্যাম্পেনটা তা আমরা বোধহয় অন্য ধরনের খাদ্য খাই সাত বছর আট বছর বয়সে বাচ্চারা বিভিন্ন খাদ্য থেকেও ভিটামিন পেয়ে যায় কিন্তু এই ছমাস থেকে পাঁচ বছরের মধ্যে হয়তো অনেক বাচ্চা ফ"&amp;"লি পসেপকসবজি একজিক্লি সেজন্য আমরা অনেক সময় ফাস্ট ফুড বা বাবাইরার খাবারের প্রতি অনেক অনেকটা পরিবার অনেক শিশুরা নির্ভরশীল হয়ে পড়ে এক্ষেত্রে")</f>
        <v>বাচ্চাদের পর্যন্ত মানে এখানে পছন্দ করে থাকি এবং টার্গেট করে আমরা এদেরকে ভিটামিনে প্লাস ক্যাম্পেনটা তা আমরা বোধহয় অন্য ধরনের খাদ্য খাই সাত বছর আট বছর বয়সে বাচ্চারা বিভিন্ন খাদ্য থেকেও ভিটামিন পেয়ে যায় কিন্তু এই ছমাস থেকে পাঁচ বছরের মধ্যে হয়তো অনেক বাচ্চা ফলি পসেপকসবজি একজিক্লি সেজন্য আমরা অনেক সময় ফাস্ট ফুড বা বাবাইরার খাবারের প্রতি অনেক অনেকটা পরিবার অনেক শিশুরা নির্ভরশীল হয়ে পড়ে এক্ষেত্রে</v>
      </c>
      <c r="D53" s="2" t="str">
        <f>IFERROR(__xludf.DUMMYFUNCTION("""COMPUTED_VALUE"""),"Yes")</f>
        <v>Yes</v>
      </c>
      <c r="E53" s="2" t="str">
        <f>IFERROR(__xludf.DUMMYFUNCTION("""COMPUTED_VALUE"""),"No")</f>
        <v>No</v>
      </c>
      <c r="F53" s="2" t="str">
        <f>IFERROR(__xludf.DUMMYFUNCTION("""COMPUTED_VALUE"""),"Yes")</f>
        <v>Yes</v>
      </c>
      <c r="G53" s="2">
        <f>IFERROR(__xludf.DUMMYFUNCTION("""COMPUTED_VALUE"""),0.5)</f>
        <v>0.5</v>
      </c>
      <c r="H53" s="2">
        <f>IFERROR(__xludf.DUMMYFUNCTION("""COMPUTED_VALUE"""),1.0)</f>
        <v>1</v>
      </c>
      <c r="I53" s="2">
        <f>IFERROR(__xludf.DUMMYFUNCTION("""COMPUTED_VALUE"""),0.5)</f>
        <v>0.5</v>
      </c>
      <c r="J53" s="2">
        <f>IFERROR(__xludf.DUMMYFUNCTION("""COMPUTED_VALUE"""),0.5)</f>
        <v>0.5</v>
      </c>
      <c r="K53" s="2" t="str">
        <f>IFERROR(__xludf.DUMMYFUNCTION("""COMPUTED_VALUE"""),"5 – High-quality, Clean Bangla speech")</f>
        <v>5 – High-quality, Clean Bangla speech</v>
      </c>
      <c r="L53" s="2" t="str">
        <f>IFERROR(__xludf.DUMMYFUNCTION("""COMPUTED_VALUE"""),"Yes")</f>
        <v>Yes</v>
      </c>
    </row>
    <row r="54">
      <c r="A54" s="2" t="str">
        <f>IFERROR(__xludf.DUMMYFUNCTION("""COMPUTED_VALUE"""),"\collect\read\YouTube\TORONGO\_2X8LOMTO_Y\bade7818-20f4-45ad-baac-627b16341be7.flac")</f>
        <v>\collect\read\YouTube\TORONGO\_2X8LOMTO_Y\bade7818-20f4-45ad-baac-627b16341be7.flac</v>
      </c>
      <c r="B54" s="2">
        <f>IFERROR(__xludf.DUMMYFUNCTION("""COMPUTED_VALUE"""),30.0)</f>
        <v>30</v>
      </c>
      <c r="C54" s="2" t="str">
        <f>IFERROR(__xludf.DUMMYFUNCTION("""COMPUTED_VALUE"""),"আা ব আরো অনুষ্ঠান রয়েছে এবং আশেপাশ থেকে আপনার তদদি জানতে চেষ্টা করেন আমি একটা প্রসঙ্গে যাই প্রশ্ন করতে বাজারে এখন বর্তমানে প্রচুর আম পাওয়া যায় লিচু পাওয়া যায় অথচ যখন আওয়ামী লীগও বাজার ছিল না তখন দেখা যায় আমরা প্যাকেট জুস আমের জুস লিচুর জুস খেত বাচ্চারা অন"&amp;"েক অভিভাবক কিনে নিয়ে যেতেন অনেকে বাসায় বেড়াতে যেয়ে বাচ্চার জন্য আদর করে তারা লিচুর জুসের প্যাকেট আমি জোসে প্যাকেট নিয়ে যেত ো")</f>
        <v>আা ব আরো অনুষ্ঠান রয়েছে এবং আশেপাশ থেকে আপনার তদদি জানতে চেষ্টা করেন আমি একটা প্রসঙ্গে যাই প্রশ্ন করতে বাজারে এখন বর্তমানে প্রচুর আম পাওয়া যায় লিচু পাওয়া যায় অথচ যখন আওয়ামী লীগও বাজার ছিল না তখন দেখা যায় আমরা প্যাকেট জুস আমের জুস লিচুর জুস খেত বাচ্চারা অনেক অভিভাবক কিনে নিয়ে যেতেন অনেকে বাসায় বেড়াতে যেয়ে বাচ্চার জন্য আদর করে তারা লিচুর জুসের প্যাকেট আমি জোসে প্যাকেট নিয়ে যেত ো</v>
      </c>
      <c r="D54" s="2" t="str">
        <f>IFERROR(__xludf.DUMMYFUNCTION("""COMPUTED_VALUE"""),"Yes")</f>
        <v>Yes</v>
      </c>
      <c r="E54" s="2" t="str">
        <f>IFERROR(__xludf.DUMMYFUNCTION("""COMPUTED_VALUE"""),"No")</f>
        <v>No</v>
      </c>
      <c r="F54" s="2" t="str">
        <f>IFERROR(__xludf.DUMMYFUNCTION("""COMPUTED_VALUE"""),"Yes")</f>
        <v>Yes</v>
      </c>
      <c r="G54" s="2">
        <f>IFERROR(__xludf.DUMMYFUNCTION("""COMPUTED_VALUE"""),0.5)</f>
        <v>0.5</v>
      </c>
      <c r="H54" s="2">
        <f>IFERROR(__xludf.DUMMYFUNCTION("""COMPUTED_VALUE"""),0.5)</f>
        <v>0.5</v>
      </c>
      <c r="I54" s="2">
        <f>IFERROR(__xludf.DUMMYFUNCTION("""COMPUTED_VALUE"""),0.0)</f>
        <v>0</v>
      </c>
      <c r="J54" s="2">
        <f>IFERROR(__xludf.DUMMYFUNCTION("""COMPUTED_VALUE"""),0.5)</f>
        <v>0.5</v>
      </c>
      <c r="K54" s="2" t="str">
        <f>IFERROR(__xludf.DUMMYFUNCTION("""COMPUTED_VALUE"""),"5 – High-quality, Clean Bangla speech")</f>
        <v>5 – High-quality, Clean Bangla speech</v>
      </c>
      <c r="L54" s="2" t="str">
        <f>IFERROR(__xludf.DUMMYFUNCTION("""COMPUTED_VALUE"""),"Yes")</f>
        <v>Yes</v>
      </c>
    </row>
    <row r="55">
      <c r="A55" s="2" t="str">
        <f>IFERROR(__xludf.DUMMYFUNCTION("""COMPUTED_VALUE"""),"\collect\read\YouTube\TORONGO\_2X8LOMTO_Y\bcc837b2-07da-4ab7-8fbd-3dddc22fd02e.flac")</f>
        <v>\collect\read\YouTube\TORONGO\_2X8LOMTO_Y\bcc837b2-07da-4ab7-8fbd-3dddc22fd02e.flac</v>
      </c>
      <c r="B55" s="2">
        <f>IFERROR(__xludf.DUMMYFUNCTION("""COMPUTED_VALUE"""),30.0)</f>
        <v>30</v>
      </c>
      <c r="C55" s="2" t="str">
        <f>IFERROR(__xludf.DUMMYFUNCTION("""COMPUTED_VALUE"""),"খাবন এটা যদি অনেকগুলো একসাথে অনেকগুলো খেয়ে ফেলি আমরা আমাদের বড় ধরে কিন্তু অনেক সময় মানে সাহস ফাঁস লাগে সার মানে বদহজন তা পের হয় সো যেটাই খাওয়াবো আমরা একটু পরিমাণ মতো খাওয়াবো এবং এখানে হচ্ছে অ্যাসিডিটির ব্যাপারগুলো আছে যেন খালি পেতে কাঁঠালো টাটারাগুলো না খ"&amp;"াওয়ান পথ য় যেমন আমরা খাওয়া দাওয়ার পরে দুই তিন ঘণ্টা পরে বাচ্চাকে একটা বা দুই টাকান বয়স অনুযায়ীভাবে যতটুকু খেতে পারে খুব বেশি পরিমাণে কোনো কিছুই আসলে খাওয়ানো হচ্ছে োে চমৎকার বলেছে")</f>
        <v>খাবন এটা যদি অনেকগুলো একসাথে অনেকগুলো খেয়ে ফেলি আমরা আমাদের বড় ধরে কিন্তু অনেক সময় মানে সাহস ফাঁস লাগে সার মানে বদহজন তা পের হয় সো যেটাই খাওয়াবো আমরা একটু পরিমাণ মতো খাওয়াবো এবং এখানে হচ্ছে অ্যাসিডিটির ব্যাপারগুলো আছে যেন খালি পেতে কাঁঠালো টাটারাগুলো না খাওয়ান পথ য় যেমন আমরা খাওয়া দাওয়ার পরে দুই তিন ঘণ্টা পরে বাচ্চাকে একটা বা দুই টাকান বয়স অনুযায়ীভাবে যতটুকু খেতে পারে খুব বেশি পরিমাণে কোনো কিছুই আসলে খাওয়ানো হচ্ছে োে চমৎকার বলেছে</v>
      </c>
      <c r="D55" s="2" t="str">
        <f>IFERROR(__xludf.DUMMYFUNCTION("""COMPUTED_VALUE"""),"Yes")</f>
        <v>Yes</v>
      </c>
      <c r="E55" s="2" t="str">
        <f>IFERROR(__xludf.DUMMYFUNCTION("""COMPUTED_VALUE"""),"No")</f>
        <v>No</v>
      </c>
      <c r="F55" s="2" t="str">
        <f>IFERROR(__xludf.DUMMYFUNCTION("""COMPUTED_VALUE"""),"Yes")</f>
        <v>Yes</v>
      </c>
      <c r="G55" s="2">
        <f>IFERROR(__xludf.DUMMYFUNCTION("""COMPUTED_VALUE"""),0.5)</f>
        <v>0.5</v>
      </c>
      <c r="H55" s="2">
        <f>IFERROR(__xludf.DUMMYFUNCTION("""COMPUTED_VALUE"""),0.5)</f>
        <v>0.5</v>
      </c>
      <c r="I55" s="2">
        <f>IFERROR(__xludf.DUMMYFUNCTION("""COMPUTED_VALUE"""),0.0)</f>
        <v>0</v>
      </c>
      <c r="J55" s="2">
        <f>IFERROR(__xludf.DUMMYFUNCTION("""COMPUTED_VALUE"""),0.5)</f>
        <v>0.5</v>
      </c>
      <c r="K55" s="2" t="str">
        <f>IFERROR(__xludf.DUMMYFUNCTION("""COMPUTED_VALUE"""),"5 – High-quality, Clean Bangla speech")</f>
        <v>5 – High-quality, Clean Bangla speech</v>
      </c>
      <c r="L55" s="2" t="str">
        <f>IFERROR(__xludf.DUMMYFUNCTION("""COMPUTED_VALUE"""),"No")</f>
        <v>No</v>
      </c>
    </row>
    <row r="56">
      <c r="A56" s="2" t="str">
        <f>IFERROR(__xludf.DUMMYFUNCTION("""COMPUTED_VALUE"""),"\collect\read\YouTube\TORONGO\_2X8LOMTO_Y\c205aa8d-0a2e-4d01-a09c-259045354994.flac")</f>
        <v>\collect\read\YouTube\TORONGO\_2X8LOMTO_Y\c205aa8d-0a2e-4d01-a09c-259045354994.flac</v>
      </c>
      <c r="B56" s="2">
        <f>IFERROR(__xludf.DUMMYFUNCTION("""COMPUTED_VALUE"""),30.0)</f>
        <v>30</v>
      </c>
      <c r="C56" s="2" t="str">
        <f>IFERROR(__xludf.DUMMYFUNCTION("""COMPUTED_VALUE"""),"সম্মুখীন আমরা প্রতিনিয়ত হয়ে থাকি আমরা যত শিশু বিশেষজ্ঞ আছি এক্ষেত্রে আমাদের উপদেশ হচ্ছে এই যে ছয় মাস পর্যন্ত আমরা যে ভিটামিন এ প্লাস আমরা যে বুকে দুটা খাওয়াতে বলি বাচ্চাদেরকে এই ছয় মাস এক্সক্লুসিভ রেস্ট ফিডিংটা চালু রাখতে হবে এবং এক্ষেত্রে ছয় মাসের পর থেক"&amp;"ে আমরা যেটা বাচ্চাকে দিব সেটাই সে চিনবে এক্ষেত্রে আমাদেরকে পরিচিত করাতে হবে খাদ্যের সাথে বাচ্চাদেরকে মানে বাচ্চারে কোনটা শাক সবজি কোনটা ফলমূল কোনটা একটা ডিম")</f>
        <v>সম্মুখীন আমরা প্রতিনিয়ত হয়ে থাকি আমরা যত শিশু বিশেষজ্ঞ আছি এক্ষেত্রে আমাদের উপদেশ হচ্ছে এই যে ছয় মাস পর্যন্ত আমরা যে ভিটামিন এ প্লাস আমরা যে বুকে দুটা খাওয়াতে বলি বাচ্চাদেরকে এই ছয় মাস এক্সক্লুসিভ রেস্ট ফিডিংটা চালু রাখতে হবে এবং এক্ষেত্রে ছয় মাসের পর থেকে আমরা যেটা বাচ্চাকে দিব সেটাই সে চিনবে এক্ষেত্রে আমাদেরকে পরিচিত করাতে হবে খাদ্যের সাথে বাচ্চাদেরকে মানে বাচ্চারে কোনটা শাক সবজি কোনটা ফলমূল কোনটা একটা ডিম</v>
      </c>
      <c r="D56" s="2" t="str">
        <f>IFERROR(__xludf.DUMMYFUNCTION("""COMPUTED_VALUE"""),"Yes")</f>
        <v>Yes</v>
      </c>
      <c r="E56" s="2" t="str">
        <f>IFERROR(__xludf.DUMMYFUNCTION("""COMPUTED_VALUE"""),"No")</f>
        <v>No</v>
      </c>
      <c r="F56" s="2" t="str">
        <f>IFERROR(__xludf.DUMMYFUNCTION("""COMPUTED_VALUE"""),"No")</f>
        <v>No</v>
      </c>
      <c r="G56" s="2">
        <f>IFERROR(__xludf.DUMMYFUNCTION("""COMPUTED_VALUE"""),1.0)</f>
        <v>1</v>
      </c>
      <c r="H56" s="2">
        <f>IFERROR(__xludf.DUMMYFUNCTION("""COMPUTED_VALUE"""),1.0)</f>
        <v>1</v>
      </c>
      <c r="I56" s="2">
        <f>IFERROR(__xludf.DUMMYFUNCTION("""COMPUTED_VALUE"""),1.0)</f>
        <v>1</v>
      </c>
      <c r="J56" s="2">
        <f>IFERROR(__xludf.DUMMYFUNCTION("""COMPUTED_VALUE"""),1.0)</f>
        <v>1</v>
      </c>
      <c r="K56" s="2" t="str">
        <f>IFERROR(__xludf.DUMMYFUNCTION("""COMPUTED_VALUE"""),"5 – High-quality, Clean Bangla speech")</f>
        <v>5 – High-quality, Clean Bangla speech</v>
      </c>
      <c r="L56" s="2" t="str">
        <f>IFERROR(__xludf.DUMMYFUNCTION("""COMPUTED_VALUE"""),"No")</f>
        <v>No</v>
      </c>
    </row>
    <row r="57">
      <c r="A57" s="2" t="str">
        <f>IFERROR(__xludf.DUMMYFUNCTION("""COMPUTED_VALUE"""),"\collect\read\YouTube\TORONGO\_2X8LOMTO_Y\c8f4aff8-6849-4174-9d7d-6c3f4fe37f4f.flac")</f>
        <v>\collect\read\YouTube\TORONGO\_2X8LOMTO_Y\c8f4aff8-6849-4174-9d7d-6c3f4fe37f4f.flac</v>
      </c>
      <c r="B57" s="2">
        <f>IFERROR(__xludf.DUMMYFUNCTION("""COMPUTED_VALUE"""),30.0)</f>
        <v>30</v>
      </c>
      <c r="C57" s="2" t="str">
        <f>IFERROR(__xludf.DUMMYFUNCTION("""COMPUTED_VALUE"""),"থাকি তো এই কটাবেপোর প্রজলন টাই এইট এই বিষয়কে যদি বলতেন আমাদের আজকের প্রসঙ্গ জাতীয় ভিটামিন এ প্লাস ক্যাম্পেইন ভিটামিন এর গুরুত্ব ভিটামিনের প্রয়োজনীয়তা কি করে প্রচারে অংশগ্রহণ করবেন ক্যাম্পগুলো চিনবেন কি করে যারা বাদ যাবে তাদের কি করা যেতে পারে বাদ যেনো না "&amp;"যায় তাদের জন্য কি এই জাতী অনেক অনেক কথা আছে সেগুলোর কথার সুযোগ দিন আর আন্য একটা অনুষ্ঠান আমা নিশ্ জবাব দিব নিচ্ছে আরেকটা ফোন কে যেন অপেক্ষা আছেন দেখি হ্যালো কেন য়")</f>
        <v>থাকি তো এই কটাবেপোর প্রজলন টাই এইট এই বিষয়কে যদি বলতেন আমাদের আজকের প্রসঙ্গ জাতীয় ভিটামিন এ প্লাস ক্যাম্পেইন ভিটামিন এর গুরুত্ব ভিটামিনের প্রয়োজনীয়তা কি করে প্রচারে অংশগ্রহণ করবেন ক্যাম্পগুলো চিনবেন কি করে যারা বাদ যাবে তাদের কি করা যেতে পারে বাদ যেনো না যায় তাদের জন্য কি এই জাতী অনেক অনেক কথা আছে সেগুলোর কথার সুযোগ দিন আর আন্য একটা অনুষ্ঠান আমা নিশ্ জবাব দিব নিচ্ছে আরেকটা ফোন কে যেন অপেক্ষা আছেন দেখি হ্যালো কেন য়</v>
      </c>
      <c r="D57" s="2" t="str">
        <f>IFERROR(__xludf.DUMMYFUNCTION("""COMPUTED_VALUE"""),"Yes")</f>
        <v>Yes</v>
      </c>
      <c r="E57" s="2" t="str">
        <f>IFERROR(__xludf.DUMMYFUNCTION("""COMPUTED_VALUE"""),"No")</f>
        <v>No</v>
      </c>
      <c r="F57" s="2" t="str">
        <f>IFERROR(__xludf.DUMMYFUNCTION("""COMPUTED_VALUE"""),"Yes")</f>
        <v>Yes</v>
      </c>
      <c r="G57" s="2">
        <f>IFERROR(__xludf.DUMMYFUNCTION("""COMPUTED_VALUE"""),1.0)</f>
        <v>1</v>
      </c>
      <c r="H57" s="2">
        <f>IFERROR(__xludf.DUMMYFUNCTION("""COMPUTED_VALUE"""),1.0)</f>
        <v>1</v>
      </c>
      <c r="I57" s="2">
        <f>IFERROR(__xludf.DUMMYFUNCTION("""COMPUTED_VALUE"""),0.5)</f>
        <v>0.5</v>
      </c>
      <c r="J57" s="2">
        <f>IFERROR(__xludf.DUMMYFUNCTION("""COMPUTED_VALUE"""),1.0)</f>
        <v>1</v>
      </c>
      <c r="K57" s="2" t="str">
        <f>IFERROR(__xludf.DUMMYFUNCTION("""COMPUTED_VALUE"""),"5 – High-quality, Clean Bangla speech")</f>
        <v>5 – High-quality, Clean Bangla speech</v>
      </c>
      <c r="L57" s="2" t="str">
        <f>IFERROR(__xludf.DUMMYFUNCTION("""COMPUTED_VALUE"""),"No")</f>
        <v>No</v>
      </c>
    </row>
    <row r="58">
      <c r="A58" s="2" t="str">
        <f>IFERROR(__xludf.DUMMYFUNCTION("""COMPUTED_VALUE"""),"\collect\read\YouTube\TORONGO\_2X8LOMTO_Y\cbe55f77-b09d-4a0d-a524-f4e8e32dbf8b.flac")</f>
        <v>\collect\read\YouTube\TORONGO\_2X8LOMTO_Y\cbe55f77-b09d-4a0d-a524-f4e8e32dbf8b.flac</v>
      </c>
      <c r="B58" s="2">
        <f>IFERROR(__xludf.DUMMYFUNCTION("""COMPUTED_VALUE"""),30.0)</f>
        <v>30</v>
      </c>
      <c r="C58" s="2" t="str">
        <f>IFERROR(__xludf.DUMMYFUNCTION("""COMPUTED_VALUE"""),"পে সো আমাদের এখানে পাঁচশব প্রতিকোটা না দেখে আমরা যদি দীর্ঘস্থায়ী যে সমাধানের জন্য আমরা যে ভিটামিন এপ্লাস ক্যাম্পেনিংটা চালু করেছি সেটার উপর গুরুত্বপূর্ণ আলোচনা করা হয়েছে এবং এটা একটা ভিটামিন অনুপুষ্টি এবং এটার পাসপোর্টে কে আনেই বলেই চলে ধন্যবাদ এবং এটা গব"&amp;"েষণাধর্মী বিষয় কিন্তু এই চিকিৎসার বিষয়টা ভিটারিনে দেয়া হচ্ছে আন্তর্জাতিকভাবে গবেষণা করে দেয়া হয় মনগড়াগণে ব্যক্তি পর্যায়ের প্রাতিষ্ঠানিক বিষয় নয় সুতরাং পাঁরশো প্রতীকার ব্যাপারে সরকার সচেতন")</f>
        <v>পে সো আমাদের এখানে পাঁচশব প্রতিকোটা না দেখে আমরা যদি দীর্ঘস্থায়ী যে সমাধানের জন্য আমরা যে ভিটামিন এপ্লাস ক্যাম্পেনিংটা চালু করেছি সেটার উপর গুরুত্বপূর্ণ আলোচনা করা হয়েছে এবং এটা একটা ভিটামিন অনুপুষ্টি এবং এটার পাসপোর্টে কে আনেই বলেই চলে ধন্যবাদ এবং এটা গবেষণাধর্মী বিষয় কিন্তু এই চিকিৎসার বিষয়টা ভিটারিনে দেয়া হচ্ছে আন্তর্জাতিকভাবে গবেষণা করে দেয়া হয় মনগড়াগণে ব্যক্তি পর্যায়ের প্রাতিষ্ঠানিক বিষয় নয় সুতরাং পাঁরশো প্রতীকার ব্যাপারে সরকার সচেতন</v>
      </c>
      <c r="D58" s="2" t="str">
        <f>IFERROR(__xludf.DUMMYFUNCTION("""COMPUTED_VALUE"""),"Yes")</f>
        <v>Yes</v>
      </c>
      <c r="E58" s="2" t="str">
        <f>IFERROR(__xludf.DUMMYFUNCTION("""COMPUTED_VALUE"""),"No")</f>
        <v>No</v>
      </c>
      <c r="F58" s="2" t="str">
        <f>IFERROR(__xludf.DUMMYFUNCTION("""COMPUTED_VALUE"""),"Yes")</f>
        <v>Yes</v>
      </c>
      <c r="G58" s="2">
        <f>IFERROR(__xludf.DUMMYFUNCTION("""COMPUTED_VALUE"""),0.5)</f>
        <v>0.5</v>
      </c>
      <c r="H58" s="2">
        <f>IFERROR(__xludf.DUMMYFUNCTION("""COMPUTED_VALUE"""),0.5)</f>
        <v>0.5</v>
      </c>
      <c r="I58" s="2">
        <f>IFERROR(__xludf.DUMMYFUNCTION("""COMPUTED_VALUE"""),0.5)</f>
        <v>0.5</v>
      </c>
      <c r="J58" s="2">
        <f>IFERROR(__xludf.DUMMYFUNCTION("""COMPUTED_VALUE"""),1.0)</f>
        <v>1</v>
      </c>
      <c r="K58" s="2" t="str">
        <f>IFERROR(__xludf.DUMMYFUNCTION("""COMPUTED_VALUE"""),"5 – High-quality, Clean Bangla speech")</f>
        <v>5 – High-quality, Clean Bangla speech</v>
      </c>
      <c r="L58" s="2" t="str">
        <f>IFERROR(__xludf.DUMMYFUNCTION("""COMPUTED_VALUE"""),"No")</f>
        <v>No</v>
      </c>
    </row>
    <row r="59">
      <c r="A59" s="2" t="str">
        <f>IFERROR(__xludf.DUMMYFUNCTION("""COMPUTED_VALUE"""),"\collect\read\YouTube\TORONGO\_2X8LOMTO_Y\cbf4b788-1d24-4aa2-a090-bd7d5fdd5b0f.flac")</f>
        <v>\collect\read\YouTube\TORONGO\_2X8LOMTO_Y\cbf4b788-1d24-4aa2-a090-bd7d5fdd5b0f.flac</v>
      </c>
      <c r="B59" s="2">
        <f>IFERROR(__xludf.DUMMYFUNCTION("""COMPUTED_VALUE"""),30.0)</f>
        <v>30</v>
      </c>
      <c r="C59" s="2" t="str">
        <f>IFERROR(__xludf.DUMMYFUNCTION("""COMPUTED_VALUE"""),"চৌধুরা নী পিড়গাছা রংপুর থেকে মোহাম্মদ মোশাররফ হোসেন হ্যা মোশাররফ প্রশ্ন আমার জানতে চাওয়ার বিষয়টা হচ্ছে ভিটামিন টেপলাস ক্যাম্টেন চলতেছে তো আমরা যে সমস্ত শিশুদেরকে এই ক্যাম্টেনেন্ট চলাকালীন খাওয়াইতে পারব না তাদের ব্থা কি ব্যবস্থা নেওয়া হবে আরেকটা বিষয় জানতে"&amp;" চাচ্ছি সেটা হচ্ছে যেছি পাঁচশ প্রতিক্রিয়াকৃত হতে পারে কি না ইটামিন এ ক্যাম ক্যাপটাল খাওয়ালে এবং সেক্ষেত্রে আমাদের করণীয় কী মোশাররফ আমাদের সঙ্গে আছেন রংপুর থেকে প্রশ্ন করেছেন যে এই ভিটামিনের")</f>
        <v>চৌধুরা নী পিড়গাছা রংপুর থেকে মোহাম্মদ মোশাররফ হোসেন হ্যা মোশাররফ প্রশ্ন আমার জানতে চাওয়ার বিষয়টা হচ্ছে ভিটামিন টেপলাস ক্যাম্টেন চলতেছে তো আমরা যে সমস্ত শিশুদেরকে এই ক্যাম্টেনেন্ট চলাকালীন খাওয়াইতে পারব না তাদের ব্থা কি ব্যবস্থা নেওয়া হবে আরেকটা বিষয় জানতে চাচ্ছি সেটা হচ্ছে যেছি পাঁচশ প্রতিক্রিয়াকৃত হতে পারে কি না ইটামিন এ ক্যাম ক্যাপটাল খাওয়ালে এবং সেক্ষেত্রে আমাদের করণীয় কী মোশাররফ আমাদের সঙ্গে আছেন রংপুর থেকে প্রশ্ন করেছেন যে এই ভিটামিনের</v>
      </c>
      <c r="D59" s="2" t="str">
        <f>IFERROR(__xludf.DUMMYFUNCTION("""COMPUTED_VALUE"""),"Yes")</f>
        <v>Yes</v>
      </c>
      <c r="E59" s="2" t="str">
        <f>IFERROR(__xludf.DUMMYFUNCTION("""COMPUTED_VALUE"""),"No")</f>
        <v>No</v>
      </c>
      <c r="F59" s="2" t="str">
        <f>IFERROR(__xludf.DUMMYFUNCTION("""COMPUTED_VALUE"""),"Yes")</f>
        <v>Yes</v>
      </c>
      <c r="G59" s="2">
        <f>IFERROR(__xludf.DUMMYFUNCTION("""COMPUTED_VALUE"""),0.0)</f>
        <v>0</v>
      </c>
      <c r="H59" s="2">
        <f>IFERROR(__xludf.DUMMYFUNCTION("""COMPUTED_VALUE"""),0.5)</f>
        <v>0.5</v>
      </c>
      <c r="I59" s="2">
        <f>IFERROR(__xludf.DUMMYFUNCTION("""COMPUTED_VALUE"""),1.0)</f>
        <v>1</v>
      </c>
      <c r="J59" s="2">
        <f>IFERROR(__xludf.DUMMYFUNCTION("""COMPUTED_VALUE"""),1.0)</f>
        <v>1</v>
      </c>
      <c r="K59" s="2" t="str">
        <f>IFERROR(__xludf.DUMMYFUNCTION("""COMPUTED_VALUE"""),"4– Usable, minor flaws Minor background noise.")</f>
        <v>4– Usable, minor flaws Minor background noise.</v>
      </c>
      <c r="L59" s="2" t="str">
        <f>IFERROR(__xludf.DUMMYFUNCTION("""COMPUTED_VALUE"""),"Yes")</f>
        <v>Yes</v>
      </c>
    </row>
    <row r="60">
      <c r="A60" s="2" t="str">
        <f>IFERROR(__xludf.DUMMYFUNCTION("""COMPUTED_VALUE"""),"\collect\read\YouTube\TORONGO\_2X8LOMTO_Y\cf3d74f5-d6bb-49f3-b973-e38d569631ff.flac")</f>
        <v>\collect\read\YouTube\TORONGO\_2X8LOMTO_Y\cf3d74f5-d6bb-49f3-b973-e38d569631ff.flac</v>
      </c>
      <c r="B60" s="2">
        <f>IFERROR(__xludf.DUMMYFUNCTION("""COMPUTED_VALUE"""),30.0)</f>
        <v>30</v>
      </c>
      <c r="C60" s="2" t="str">
        <f>IFERROR(__xludf.DUMMYFUNCTION("""COMPUTED_VALUE"""),"শিশুদেরকে আমরা কেন্দ্রে নিয়ে যাবো এবং ওখানে যারা স্বাস্থ্যকর্মী আছেন তারা ছয় মাস থেকে এক বছর বয়সে বাচ্চাদেরকে এক লাখ ইউনিট বা নীল ক্যাপসুল খাওয়াবেন এবং এক বছর থেকে পাঁচ বছর পর্যন্ত বাচ্চাদেরকে দুই লাখ ইনিট এবং লাল ক্যাপসুল খাওয়াবেন এবং এই যে খাওনার পাশাপা"&amp;"শি তারা কিছু বার্তা দেবেন এই দুইটাকে সম্মিলিতভাবে বলা হচ্ছে কিন্তু ভিটামিন এ প্লাস এই বার্তাগুলো আমরা দিচ্ছি যে এগুলা আমি বারবার আলোচনা করছে যে জন্মের পরপরই")</f>
        <v>শিশুদেরকে আমরা কেন্দ্রে নিয়ে যাবো এবং ওখানে যারা স্বাস্থ্যকর্মী আছেন তারা ছয় মাস থেকে এক বছর বয়সে বাচ্চাদেরকে এক লাখ ইউনিট বা নীল ক্যাপসুল খাওয়াবেন এবং এক বছর থেকে পাঁচ বছর পর্যন্ত বাচ্চাদেরকে দুই লাখ ইনিট এবং লাল ক্যাপসুল খাওয়াবেন এবং এই যে খাওনার পাশাপাশি তারা কিছু বার্তা দেবেন এই দুইটাকে সম্মিলিতভাবে বলা হচ্ছে কিন্তু ভিটামিন এ প্লাস এই বার্তাগুলো আমরা দিচ্ছি যে এগুলা আমি বারবার আলোচনা করছে যে জন্মের পরপরই</v>
      </c>
      <c r="D60" s="2" t="str">
        <f>IFERROR(__xludf.DUMMYFUNCTION("""COMPUTED_VALUE"""),"Yes")</f>
        <v>Yes</v>
      </c>
      <c r="E60" s="2" t="str">
        <f>IFERROR(__xludf.DUMMYFUNCTION("""COMPUTED_VALUE"""),"No")</f>
        <v>No</v>
      </c>
      <c r="F60" s="2" t="str">
        <f>IFERROR(__xludf.DUMMYFUNCTION("""COMPUTED_VALUE"""),"No")</f>
        <v>No</v>
      </c>
      <c r="G60" s="2">
        <f>IFERROR(__xludf.DUMMYFUNCTION("""COMPUTED_VALUE"""),1.0)</f>
        <v>1</v>
      </c>
      <c r="H60" s="2">
        <f>IFERROR(__xludf.DUMMYFUNCTION("""COMPUTED_VALUE"""),1.0)</f>
        <v>1</v>
      </c>
      <c r="I60" s="2">
        <f>IFERROR(__xludf.DUMMYFUNCTION("""COMPUTED_VALUE"""),1.0)</f>
        <v>1</v>
      </c>
      <c r="J60" s="2">
        <f>IFERROR(__xludf.DUMMYFUNCTION("""COMPUTED_VALUE"""),1.0)</f>
        <v>1</v>
      </c>
      <c r="K60" s="2" t="str">
        <f>IFERROR(__xludf.DUMMYFUNCTION("""COMPUTED_VALUE"""),"5 – High-quality, Clean Bangla speech")</f>
        <v>5 – High-quality, Clean Bangla speech</v>
      </c>
      <c r="L60" s="2" t="str">
        <f>IFERROR(__xludf.DUMMYFUNCTION("""COMPUTED_VALUE"""),"No")</f>
        <v>No</v>
      </c>
    </row>
    <row r="61">
      <c r="A61" s="2" t="str">
        <f>IFERROR(__xludf.DUMMYFUNCTION("""COMPUTED_VALUE"""),"\collect\read\YouTube\TORONGO\_2X8LOMTO_Y\cfb046d5-1147-4436-85a2-a4decbcba005.flac")</f>
        <v>\collect\read\YouTube\TORONGO\_2X8LOMTO_Y\cfb046d5-1147-4436-85a2-a4decbcba005.flac</v>
      </c>
      <c r="B61" s="2">
        <f>IFERROR(__xludf.DUMMYFUNCTION("""COMPUTED_VALUE"""),30.0)</f>
        <v>30</v>
      </c>
      <c r="C61" s="2" t="str">
        <f>IFERROR(__xludf.DUMMYFUNCTION("""COMPUTED_VALUE"""),"এই যে মহামারীকালীন সময়ে আমরা কিন্তু এই যে আগে মহামারীর আগে আমরা কিন্তু প্রতিবছর দুইবার করে ভিগ্ামী নিপ্লিয়াস ক্যাম্পেইন করতাম এখন কিন্তু আমরা সেটা এক সপ্তাহের মধ্যে নিয়ে এসেছি মাচ থেকে উনিশ জুন পর্যন্ত তার মধ্যে আমরা এ যে আমরা কিন্তু করোনার কথাটুকু ামারি "&amp;"হিসেবে রেখেছি আর বার্তাগুলোর ব্যাপারে যেগুলো বলছিলাম যে জন্মের পর থেকে শিশুকেশুধুমাত্র বুকে দুধ খাওয়ানি তারপর হচ্ছে দু ছয় মাস পর্যন্ত বুকে দুধ খাবে ছয় মাসের পর থেকে কমপ্লিমেন্টারি কিডিং বা বাসায় তৈরি করা হাড়ের খাবার বুক")</f>
        <v>এই যে মহামারীকালীন সময়ে আমরা কিন্তু এই যে আগে মহামারীর আগে আমরা কিন্তু প্রতিবছর দুইবার করে ভিগ্ামী নিপ্লিয়াস ক্যাম্পেইন করতাম এখন কিন্তু আমরা সেটা এক সপ্তাহের মধ্যে নিয়ে এসেছি মাচ থেকে উনিশ জুন পর্যন্ত তার মধ্যে আমরা এ যে আমরা কিন্তু করোনার কথাটুকু ামারি হিসেবে রেখেছি আর বার্তাগুলোর ব্যাপারে যেগুলো বলছিলাম যে জন্মের পর থেকে শিশুকেশুধুমাত্র বুকে দুধ খাওয়ানি তারপর হচ্ছে দু ছয় মাস পর্যন্ত বুকে দুধ খাবে ছয় মাসের পর থেকে কমপ্লিমেন্টারি কিডিং বা বাসায় তৈরি করা হাড়ের খাবার বুক</v>
      </c>
      <c r="D61" s="2" t="str">
        <f>IFERROR(__xludf.DUMMYFUNCTION("""COMPUTED_VALUE"""),"Yes")</f>
        <v>Yes</v>
      </c>
      <c r="E61" s="2" t="str">
        <f>IFERROR(__xludf.DUMMYFUNCTION("""COMPUTED_VALUE"""),"No")</f>
        <v>No</v>
      </c>
      <c r="F61" s="2" t="str">
        <f>IFERROR(__xludf.DUMMYFUNCTION("""COMPUTED_VALUE"""),"No")</f>
        <v>No</v>
      </c>
      <c r="G61" s="2">
        <f>IFERROR(__xludf.DUMMYFUNCTION("""COMPUTED_VALUE"""),0.5)</f>
        <v>0.5</v>
      </c>
      <c r="H61" s="2">
        <f>IFERROR(__xludf.DUMMYFUNCTION("""COMPUTED_VALUE"""),1.0)</f>
        <v>1</v>
      </c>
      <c r="I61" s="2">
        <f>IFERROR(__xludf.DUMMYFUNCTION("""COMPUTED_VALUE"""),0.5)</f>
        <v>0.5</v>
      </c>
      <c r="J61" s="2">
        <f>IFERROR(__xludf.DUMMYFUNCTION("""COMPUTED_VALUE"""),0.5)</f>
        <v>0.5</v>
      </c>
      <c r="K61" s="2" t="str">
        <f>IFERROR(__xludf.DUMMYFUNCTION("""COMPUTED_VALUE"""),"5 – High-quality, Clean Bangla speech")</f>
        <v>5 – High-quality, Clean Bangla speech</v>
      </c>
      <c r="L61" s="2" t="str">
        <f>IFERROR(__xludf.DUMMYFUNCTION("""COMPUTED_VALUE"""),"No")</f>
        <v>No</v>
      </c>
    </row>
    <row r="62">
      <c r="A62" s="2" t="str">
        <f>IFERROR(__xludf.DUMMYFUNCTION("""COMPUTED_VALUE"""),"\collect\read\YouTube\TORONGO\_2X8LOMTO_Y\d924bee7-6d31-4fe5-a2b1-b5b294c0627a.flac")</f>
        <v>\collect\read\YouTube\TORONGO\_2X8LOMTO_Y\d924bee7-6d31-4fe5-a2b1-b5b294c0627a.flac</v>
      </c>
      <c r="B62" s="2">
        <f>IFERROR(__xludf.DUMMYFUNCTION("""COMPUTED_VALUE"""),30.0)</f>
        <v>30</v>
      </c>
      <c r="C62" s="2" t="str">
        <f>IFERROR(__xludf.DUMMYFUNCTION("""COMPUTED_VALUE"""),"পরিক্রম গেলো তাৎপর থেকে জ্বি কি জানতে চান বন্ত সবথেকে মানে ময় বসের বাচচাদের থেকে আনার অহমছ ছয় মাস জ্ি অবশ্যহিদ দুকি দেশে মতমা তাদেরকে ভিটারিনে তপসুয়ালি খবরে দাবে কিনা এবাদে চ ধন্যবাদ আরো একটা ফোন নিচ্ছি জ্বি বুঝতে পেরেছে আরো একটা ফোন নিচ্ছি হ্যালো হ্লও হ্"&amp;"যা শুভেচ্ছা আপনাকে জি হ্া রাসচন্দ্র রায় আপনারা একটা প্রশ্নে")</f>
        <v>পরিক্রম গেলো তাৎপর থেকে জ্বি কি জানতে চান বন্ত সবথেকে মানে ময় বসের বাচচাদের থেকে আনার অহমছ ছয় মাস জ্ি অবশ্যহিদ দুকি দেশে মতমা তাদেরকে ভিটারিনে তপসুয়ালি খবরে দাবে কিনা এবাদে চ ধন্যবাদ আরো একটা ফোন নিচ্ছি জ্বি বুঝতে পেরেছে আরো একটা ফোন নিচ্ছি হ্যালো হ্লও হ্যা শুভেচ্ছা আপনাকে জি হ্া রাসচন্দ্র রায় আপনারা একটা প্রশ্নে</v>
      </c>
      <c r="D62" s="2" t="str">
        <f>IFERROR(__xludf.DUMMYFUNCTION("""COMPUTED_VALUE"""),"Yes")</f>
        <v>Yes</v>
      </c>
      <c r="E62" s="2" t="str">
        <f>IFERROR(__xludf.DUMMYFUNCTION("""COMPUTED_VALUE"""),"Yes")</f>
        <v>Yes</v>
      </c>
      <c r="F62" s="2" t="str">
        <f>IFERROR(__xludf.DUMMYFUNCTION("""COMPUTED_VALUE"""),"Yes")</f>
        <v>Yes</v>
      </c>
      <c r="G62" s="2">
        <f>IFERROR(__xludf.DUMMYFUNCTION("""COMPUTED_VALUE"""),0.0)</f>
        <v>0</v>
      </c>
      <c r="H62" s="2">
        <f>IFERROR(__xludf.DUMMYFUNCTION("""COMPUTED_VALUE"""),0.0)</f>
        <v>0</v>
      </c>
      <c r="I62" s="2">
        <f>IFERROR(__xludf.DUMMYFUNCTION("""COMPUTED_VALUE"""),0.5)</f>
        <v>0.5</v>
      </c>
      <c r="J62" s="2">
        <f>IFERROR(__xludf.DUMMYFUNCTION("""COMPUTED_VALUE"""),1.0)</f>
        <v>1</v>
      </c>
      <c r="K62" s="2" t="str">
        <f>IFERROR(__xludf.DUMMYFUNCTION("""COMPUTED_VALUE"""),"3 – Mixed language or inconsistent quality")</f>
        <v>3 – Mixed language or inconsistent quality</v>
      </c>
      <c r="L62" s="2" t="str">
        <f>IFERROR(__xludf.DUMMYFUNCTION("""COMPUTED_VALUE"""),"No")</f>
        <v>No</v>
      </c>
    </row>
    <row r="63">
      <c r="A63" s="2" t="str">
        <f>IFERROR(__xludf.DUMMYFUNCTION("""COMPUTED_VALUE"""),"\collect\read\YouTube\TORONGO\_2X8LOMTO_Y\dc07236f-f3dc-440b-bdf4-f9b23ad05414.flac")</f>
        <v>\collect\read\YouTube\TORONGO\_2X8LOMTO_Y\dc07236f-f3dc-440b-bdf4-f9b23ad05414.flac</v>
      </c>
      <c r="B63" s="2">
        <f>IFERROR(__xludf.DUMMYFUNCTION("""COMPUTED_VALUE"""),30.0)</f>
        <v>30</v>
      </c>
      <c r="C63" s="2" t="str">
        <f>IFERROR(__xludf.DUMMYFUNCTION("""COMPUTED_VALUE"""),"আট এক আট টেক নয় দি পাঁচ থেকে সাতাশ এছাড়া চার আট এক এক নয় তিন ছয় আট থেকে সাত শূন্য প্রথমে শুন্ন দি জুড়ে কথা বলতে চেষ্টা করবেন আর অনুষ্ঠানটির কুইজে অংশ নিয়ে তিনজন ভাগ্যবান শ্রোতা জিতয়ে নিতে পারবেন আকর্ষণীয় পুরস্কার আরেকটি তথ্য হচ্ছে আজকে কুইজ কিন্তু রয়েছে এ"&amp;"বং যে কুইজের বিষয়টি আমাদের আলোচনা ফাঁকে পেয়ে যাবেন আমরা কুইজের প্রসঙ্গ রাখব এবং কুইজের যে")</f>
        <v>আট এক আট টেক নয় দি পাঁচ থেকে সাতাশ এছাড়া চার আট এক এক নয় তিন ছয় আট থেকে সাত শূন্য প্রথমে শুন্ন দি জুড়ে কথা বলতে চেষ্টা করবেন আর অনুষ্ঠানটির কুইজে অংশ নিয়ে তিনজন ভাগ্যবান শ্রোতা জিতয়ে নিতে পারবেন আকর্ষণীয় পুরস্কার আরেকটি তথ্য হচ্ছে আজকে কুইজ কিন্তু রয়েছে এবং যে কুইজের বিষয়টি আমাদের আলোচনা ফাঁকে পেয়ে যাবেন আমরা কুইজের প্রসঙ্গ রাখব এবং কুইজের যে</v>
      </c>
      <c r="D63" s="2" t="str">
        <f>IFERROR(__xludf.DUMMYFUNCTION("""COMPUTED_VALUE"""),"Yes")</f>
        <v>Yes</v>
      </c>
      <c r="E63" s="2" t="str">
        <f>IFERROR(__xludf.DUMMYFUNCTION("""COMPUTED_VALUE"""),"No")</f>
        <v>No</v>
      </c>
      <c r="F63" s="2" t="str">
        <f>IFERROR(__xludf.DUMMYFUNCTION("""COMPUTED_VALUE"""),"No")</f>
        <v>No</v>
      </c>
      <c r="G63" s="2">
        <f>IFERROR(__xludf.DUMMYFUNCTION("""COMPUTED_VALUE"""),1.0)</f>
        <v>1</v>
      </c>
      <c r="H63" s="2">
        <f>IFERROR(__xludf.DUMMYFUNCTION("""COMPUTED_VALUE"""),1.0)</f>
        <v>1</v>
      </c>
      <c r="I63" s="2">
        <f>IFERROR(__xludf.DUMMYFUNCTION("""COMPUTED_VALUE"""),0.5)</f>
        <v>0.5</v>
      </c>
      <c r="J63" s="2">
        <f>IFERROR(__xludf.DUMMYFUNCTION("""COMPUTED_VALUE"""),1.0)</f>
        <v>1</v>
      </c>
      <c r="K63" s="2" t="str">
        <f>IFERROR(__xludf.DUMMYFUNCTION("""COMPUTED_VALUE"""),"5 – High-quality, Clean Bangla speech")</f>
        <v>5 – High-quality, Clean Bangla speech</v>
      </c>
      <c r="L63" s="2" t="str">
        <f>IFERROR(__xludf.DUMMYFUNCTION("""COMPUTED_VALUE"""),"No")</f>
        <v>No</v>
      </c>
    </row>
    <row r="64">
      <c r="A64" s="2" t="str">
        <f>IFERROR(__xludf.DUMMYFUNCTION("""COMPUTED_VALUE"""),"\collect\read\YouTube\TORONGO\_2X8LOMTO_Y\df5a7e9a-a633-4dec-8e39-c0a578196d81.flac")</f>
        <v>\collect\read\YouTube\TORONGO\_2X8LOMTO_Y\df5a7e9a-a633-4dec-8e39-c0a578196d81.flac</v>
      </c>
      <c r="B64" s="2">
        <f>IFERROR(__xludf.DUMMYFUNCTION("""COMPUTED_VALUE"""),30.0)</f>
        <v>30</v>
      </c>
      <c r="C64" s="2" t="str">
        <f>IFERROR(__xludf.DUMMYFUNCTION("""COMPUTED_VALUE"""),"হয় এটা ছিল প্রশ্ন আমাদের সঙ্গে থাকুন খোকন যন্দ্র উত্তরে নিচ্ছি ডাক্তার বিপুল ধন্যবাদ চমৎকার একটা প্রশ্ন আসলে এই যে ভিটামিন এর গুরুত্বটা আমাদের প্রথমে আগে বুঝতে হবে যে অনুপুষ্টিটা আমরা সাপ্লিমেন্ট হিসেবে কেন আমরা গুরুত্বের সাথে নিচ্ছি আমাদের কিন্তু পূর্বে "&amp;"অনেক আগে কিন্তু  রাত কানো রোগের প্রচুর রোগী ছিল কিন্তু সীতার পরিমাণ গিয়ে দাঁড়িয়েছে এখন দশমিক শূন্য চার পাসমানে খুবই খুবই নবণ্য যেটা ভিটামিন এপলা চাপলাস চালু পর থেকে এবং জাতির জনক বঙ্গবন্ধু শেখ মুজিবুর রহমানের")</f>
        <v>হয় এটা ছিল প্রশ্ন আমাদের সঙ্গে থাকুন খোকন যন্দ্র উত্তরে নিচ্ছি ডাক্তার বিপুল ধন্যবাদ চমৎকার একটা প্রশ্ন আসলে এই যে ভিটামিন এর গুরুত্বটা আমাদের প্রথমে আগে বুঝতে হবে যে অনুপুষ্টিটা আমরা সাপ্লিমেন্ট হিসেবে কেন আমরা গুরুত্বের সাথে নিচ্ছি আমাদের কিন্তু পূর্বে অনেক আগে কিন্তু  রাত কানো রোগের প্রচুর রোগী ছিল কিন্তু সীতার পরিমাণ গিয়ে দাঁড়িয়েছে এখন দশমিক শূন্য চার পাসমানে খুবই খুবই নবণ্য যেটা ভিটামিন এপলা চাপলাস চালু পর থেকে এবং জাতির জনক বঙ্গবন্ধু শেখ মুজিবুর রহমানের</v>
      </c>
      <c r="D64" s="2" t="str">
        <f>IFERROR(__xludf.DUMMYFUNCTION("""COMPUTED_VALUE"""),"Yes")</f>
        <v>Yes</v>
      </c>
      <c r="E64" s="2" t="str">
        <f>IFERROR(__xludf.DUMMYFUNCTION("""COMPUTED_VALUE"""),"No")</f>
        <v>No</v>
      </c>
      <c r="F64" s="2" t="str">
        <f>IFERROR(__xludf.DUMMYFUNCTION("""COMPUTED_VALUE"""),"Yes")</f>
        <v>Yes</v>
      </c>
      <c r="G64" s="2">
        <f>IFERROR(__xludf.DUMMYFUNCTION("""COMPUTED_VALUE"""),0.5)</f>
        <v>0.5</v>
      </c>
      <c r="H64" s="2">
        <f>IFERROR(__xludf.DUMMYFUNCTION("""COMPUTED_VALUE"""),1.0)</f>
        <v>1</v>
      </c>
      <c r="I64" s="2">
        <f>IFERROR(__xludf.DUMMYFUNCTION("""COMPUTED_VALUE"""),0.5)</f>
        <v>0.5</v>
      </c>
      <c r="J64" s="2">
        <f>IFERROR(__xludf.DUMMYFUNCTION("""COMPUTED_VALUE"""),1.0)</f>
        <v>1</v>
      </c>
      <c r="K64" s="2" t="str">
        <f>IFERROR(__xludf.DUMMYFUNCTION("""COMPUTED_VALUE"""),"5 – High-quality, Clean Bangla speech")</f>
        <v>5 – High-quality, Clean Bangla speech</v>
      </c>
      <c r="L64" s="2" t="str">
        <f>IFERROR(__xludf.DUMMYFUNCTION("""COMPUTED_VALUE"""),"No")</f>
        <v>No</v>
      </c>
    </row>
    <row r="65">
      <c r="A65" s="2" t="str">
        <f>IFERROR(__xludf.DUMMYFUNCTION("""COMPUTED_VALUE"""),"\collect\read\YouTube\TORONGO\_2X8LOMTO_Y\dfee8225-29a8-4c0d-892a-b95bb4ebb878.flac")</f>
        <v>\collect\read\YouTube\TORONGO\_2X8LOMTO_Y\dfee8225-29a8-4c0d-892a-b95bb4ebb878.flac</v>
      </c>
      <c r="B65" s="2">
        <f>IFERROR(__xludf.DUMMYFUNCTION("""COMPUTED_VALUE"""),30.0)</f>
        <v>30</v>
      </c>
      <c r="C65" s="2" t="str">
        <f>IFERROR(__xludf.DUMMYFUNCTION("""COMPUTED_VALUE"""),"আন্তর্জাতিক পর্যায়ে যারার ব্যবস্থা করছেন তারা সচেতন সুতরাং এমনটি খুব কমই পাওয়া যায় বেশিরভাগ খেতে রোগে নিজের কারণে বা শিশুর কিছু ভুলের কারণে আমাদের ভুলের কারণে গ্লো হয়ে থাকে যেমনটি পেট ভরে খেয়ে এসেছে অথবা সে অসুস্থ অবস্থা খেয়েছে এরকম জাতীয় কোনো সমস্যা হতে "&amp;"পারে কিন্তু এমনিতেই আমরা যে পাঁচশ্বপ্রতী কেবল গায়ে জ্বর এসেছে খেয়ে পাতলা পাখানে হয়েছে এমনটি আমরা শুনিনি নিচ্ছি ফোন কল হ্যালো আাল্লা রম জি")</f>
        <v>আন্তর্জাতিক পর্যায়ে যারার ব্যবস্থা করছেন তারা সচেতন সুতরাং এমনটি খুব কমই পাওয়া যায় বেশিরভাগ খেতে রোগে নিজের কারণে বা শিশুর কিছু ভুলের কারণে আমাদের ভুলের কারণে গ্লো হয়ে থাকে যেমনটি পেট ভরে খেয়ে এসেছে অথবা সে অসুস্থ অবস্থা খেয়েছে এরকম জাতীয় কোনো সমস্যা হতে পারে কিন্তু এমনিতেই আমরা যে পাঁচশ্বপ্রতী কেবল গায়ে জ্বর এসেছে খেয়ে পাতলা পাখানে হয়েছে এমনটি আমরা শুনিনি নিচ্ছি ফোন কল হ্যালো আাল্লা রম জি</v>
      </c>
      <c r="D65" s="2" t="str">
        <f>IFERROR(__xludf.DUMMYFUNCTION("""COMPUTED_VALUE"""),"Yes")</f>
        <v>Yes</v>
      </c>
      <c r="E65" s="2" t="str">
        <f>IFERROR(__xludf.DUMMYFUNCTION("""COMPUTED_VALUE"""),"No")</f>
        <v>No</v>
      </c>
      <c r="F65" s="2" t="str">
        <f>IFERROR(__xludf.DUMMYFUNCTION("""COMPUTED_VALUE"""),"Yes")</f>
        <v>Yes</v>
      </c>
      <c r="G65" s="2">
        <f>IFERROR(__xludf.DUMMYFUNCTION("""COMPUTED_VALUE"""),0.5)</f>
        <v>0.5</v>
      </c>
      <c r="H65" s="2">
        <f>IFERROR(__xludf.DUMMYFUNCTION("""COMPUTED_VALUE"""),1.0)</f>
        <v>1</v>
      </c>
      <c r="I65" s="2">
        <f>IFERROR(__xludf.DUMMYFUNCTION("""COMPUTED_VALUE"""),0.5)</f>
        <v>0.5</v>
      </c>
      <c r="J65" s="2">
        <f>IFERROR(__xludf.DUMMYFUNCTION("""COMPUTED_VALUE"""),1.0)</f>
        <v>1</v>
      </c>
      <c r="K65" s="2" t="str">
        <f>IFERROR(__xludf.DUMMYFUNCTION("""COMPUTED_VALUE"""),"5 – High-quality, Clean Bangla speech")</f>
        <v>5 – High-quality, Clean Bangla speech</v>
      </c>
      <c r="L65" s="2" t="str">
        <f>IFERROR(__xludf.DUMMYFUNCTION("""COMPUTED_VALUE"""),"No")</f>
        <v>No</v>
      </c>
    </row>
    <row r="66">
      <c r="A66" s="2" t="str">
        <f>IFERROR(__xludf.DUMMYFUNCTION("""COMPUTED_VALUE"""),"\collect\read\YouTube\TORONGO\_2X8LOMTO_Y\e13b750a-4951-4a6d-ac2c-70d547608289.flac")</f>
        <v>\collect\read\YouTube\TORONGO\_2X8LOMTO_Y\e13b750a-4951-4a6d-ac2c-70d547608289.flac</v>
      </c>
      <c r="B66" s="2">
        <f>IFERROR(__xludf.DUMMYFUNCTION("""COMPUTED_VALUE"""),30.0)</f>
        <v>30</v>
      </c>
      <c r="C66" s="2" t="str">
        <f>IFERROR(__xludf.DUMMYFUNCTION("""COMPUTED_VALUE"""),"গিে আস্ছেন তার কাছে অপেক্ষা করছেন সেখানে কিছু বার্তা দেয়া হচ্ছে আমরা প্লাস যুক্ত প্লাসফানে যুক্ত করেছি আমরা ভিটামিন এ খাওয়াচ্ছি ওদিকে কিছু যুক্ত করেছি আমরা বার্তা দেবার জন্য সে বার্তাগুলো শুনলে না এতক্ষণ ধরে সেখানে বুকের দাঁত দুধ খাওয়া প্রয়োজনীয়তা দু দু ব"&amp;"ছর পর্যন্ত চালিয়ে যেতে হবে পরিচ্ছন্নতার কথা  কোন কোন খাদ্য ভিটারিন বেশি থাকে এবং আরো যদি কোনো প্রশ্ন থাকে এগুলো নিয়ে আলোচনা হয় সুতরাং এই যে বার্তাগুলো দিয়া এইজন্য বটে ছে প্লাস ক্যাম্পেইন ক্যাম্পেন অর্থাৎ প্রচারণা আর প্লাস")</f>
        <v>গিে আস্ছেন তার কাছে অপেক্ষা করছেন সেখানে কিছু বার্তা দেয়া হচ্ছে আমরা প্লাস যুক্ত প্লাসফানে যুক্ত করেছি আমরা ভিটামিন এ খাওয়াচ্ছি ওদিকে কিছু যুক্ত করেছি আমরা বার্তা দেবার জন্য সে বার্তাগুলো শুনলে না এতক্ষণ ধরে সেখানে বুকের দাঁত দুধ খাওয়া প্রয়োজনীয়তা দু দু বছর পর্যন্ত চালিয়ে যেতে হবে পরিচ্ছন্নতার কথা  কোন কোন খাদ্য ভিটারিন বেশি থাকে এবং আরো যদি কোনো প্রশ্ন থাকে এগুলো নিয়ে আলোচনা হয় সুতরাং এই যে বার্তাগুলো দিয়া এইজন্য বটে ছে প্লাস ক্যাম্পেইন ক্যাম্পেন অর্থাৎ প্রচারণা আর প্লাস</v>
      </c>
      <c r="D66" s="2" t="str">
        <f>IFERROR(__xludf.DUMMYFUNCTION("""COMPUTED_VALUE"""),"Yes")</f>
        <v>Yes</v>
      </c>
      <c r="E66" s="2" t="str">
        <f>IFERROR(__xludf.DUMMYFUNCTION("""COMPUTED_VALUE"""),"No")</f>
        <v>No</v>
      </c>
      <c r="F66" s="2" t="str">
        <f>IFERROR(__xludf.DUMMYFUNCTION("""COMPUTED_VALUE"""),"No")</f>
        <v>No</v>
      </c>
      <c r="G66" s="2">
        <f>IFERROR(__xludf.DUMMYFUNCTION("""COMPUTED_VALUE"""),1.0)</f>
        <v>1</v>
      </c>
      <c r="H66" s="2">
        <f>IFERROR(__xludf.DUMMYFUNCTION("""COMPUTED_VALUE"""),1.0)</f>
        <v>1</v>
      </c>
      <c r="I66" s="2">
        <f>IFERROR(__xludf.DUMMYFUNCTION("""COMPUTED_VALUE"""),1.0)</f>
        <v>1</v>
      </c>
      <c r="J66" s="2">
        <f>IFERROR(__xludf.DUMMYFUNCTION("""COMPUTED_VALUE"""),1.0)</f>
        <v>1</v>
      </c>
      <c r="K66" s="2" t="str">
        <f>IFERROR(__xludf.DUMMYFUNCTION("""COMPUTED_VALUE"""),"5 – High-quality, Clean Bangla speech")</f>
        <v>5 – High-quality, Clean Bangla speech</v>
      </c>
      <c r="L66" s="2" t="str">
        <f>IFERROR(__xludf.DUMMYFUNCTION("""COMPUTED_VALUE"""),"Yes")</f>
        <v>Yes</v>
      </c>
    </row>
    <row r="67">
      <c r="A67" s="2" t="str">
        <f>IFERROR(__xludf.DUMMYFUNCTION("""COMPUTED_VALUE"""),"\collect\read\YouTube\TORONGO\_2X8LOMTO_Y\e51a19cf-9cc3-407e-8248-d6c4ffcd05a3.flac")</f>
        <v>\collect\read\YouTube\TORONGO\_2X8LOMTO_Y\e51a19cf-9cc3-407e-8248-d6c4ffcd05a3.flac</v>
      </c>
      <c r="B67" s="2">
        <f>IFERROR(__xludf.DUMMYFUNCTION("""COMPUTED_VALUE"""),30.0)</f>
        <v>30</v>
      </c>
      <c r="C67" s="2" t="str">
        <f>IFERROR(__xludf.DUMMYFUNCTION("""COMPUTED_VALUE"""),"বিপুল স্যারের কাছ থেকে পাশাপাশি আপনি যেটা বলেছেন আইসক্রিম কথা ইনস্টচিচউ অবদি আপনি আমাদের সঙ্গে থাকুন আমরা জানতে চাই ভিটামিন এ প্লাস খাওয়ার কথা বলেছে কেন প্লাস না আসলে ভিটামিন এ ক্যাপসুলটা খাওয়াবো এবং আমরা যারা আমাদের দীপকদার মতো সচেতন ব্যক্তিরা আছেন তারা "&amp;"আমরা কিছু বার্তাম মাদের কাছে এবং পরিবারের সদস্যের কাছে পৌঁছাব দুটাকে সম্মিলিতভাবে বলা হচ্ছে ভিটামিন এ প্লাস ক্যাম্পেইন যে এখানে হচ্ছে ভিটামিন এইর এই যে বার্তাগুলো আমি একটু আগে বলেছি যে আমরা প্রত্যেকটা")</f>
        <v>বিপুল স্যারের কাছ থেকে পাশাপাশি আপনি যেটা বলেছেন আইসক্রিম কথা ইনস্টচিচউ অবদি আপনি আমাদের সঙ্গে থাকুন আমরা জানতে চাই ভিটামিন এ প্লাস খাওয়ার কথা বলেছে কেন প্লাস না আসলে ভিটামিন এ ক্যাপসুলটা খাওয়াবো এবং আমরা যারা আমাদের দীপকদার মতো সচেতন ব্যক্তিরা আছেন তারা আমরা কিছু বার্তাম মাদের কাছে এবং পরিবারের সদস্যের কাছে পৌঁছাব দুটাকে সম্মিলিতভাবে বলা হচ্ছে ভিটামিন এ প্লাস ক্যাম্পেইন যে এখানে হচ্ছে ভিটামিন এইর এই যে বার্তাগুলো আমি একটু আগে বলেছি যে আমরা প্রত্যেকটা</v>
      </c>
      <c r="D67" s="2" t="str">
        <f>IFERROR(__xludf.DUMMYFUNCTION("""COMPUTED_VALUE"""),"Yes")</f>
        <v>Yes</v>
      </c>
      <c r="E67" s="2" t="str">
        <f>IFERROR(__xludf.DUMMYFUNCTION("""COMPUTED_VALUE"""),"No")</f>
        <v>No</v>
      </c>
      <c r="F67" s="2" t="str">
        <f>IFERROR(__xludf.DUMMYFUNCTION("""COMPUTED_VALUE"""),"Yes")</f>
        <v>Yes</v>
      </c>
      <c r="G67" s="2">
        <f>IFERROR(__xludf.DUMMYFUNCTION("""COMPUTED_VALUE"""),0.5)</f>
        <v>0.5</v>
      </c>
      <c r="H67" s="2">
        <f>IFERROR(__xludf.DUMMYFUNCTION("""COMPUTED_VALUE"""),1.0)</f>
        <v>1</v>
      </c>
      <c r="I67" s="2">
        <f>IFERROR(__xludf.DUMMYFUNCTION("""COMPUTED_VALUE"""),1.0)</f>
        <v>1</v>
      </c>
      <c r="J67" s="2">
        <f>IFERROR(__xludf.DUMMYFUNCTION("""COMPUTED_VALUE"""),1.0)</f>
        <v>1</v>
      </c>
      <c r="K67" s="2" t="str">
        <f>IFERROR(__xludf.DUMMYFUNCTION("""COMPUTED_VALUE"""),"5 – High-quality, Clean Bangla speech")</f>
        <v>5 – High-quality, Clean Bangla speech</v>
      </c>
      <c r="L67" s="2" t="str">
        <f>IFERROR(__xludf.DUMMYFUNCTION("""COMPUTED_VALUE"""),"No")</f>
        <v>No</v>
      </c>
    </row>
    <row r="68">
      <c r="A68" s="2" t="str">
        <f>IFERROR(__xludf.DUMMYFUNCTION("""COMPUTED_VALUE"""),"\collect\read\YouTube\TORONGO\_2X8LOMTO_Y\e90e87c1-74c7-4311-bc59-517a8b663125.flac")</f>
        <v>\collect\read\YouTube\TORONGO\_2X8LOMTO_Y\e90e87c1-74c7-4311-bc59-517a8b663125.flac</v>
      </c>
      <c r="B68" s="2">
        <f>IFERROR(__xludf.DUMMYFUNCTION("""COMPUTED_VALUE"""),30.0)</f>
        <v>30</v>
      </c>
      <c r="C68" s="2" t="str">
        <f>IFERROR(__xludf.DUMMYFUNCTION("""COMPUTED_VALUE"""),"স্থানটি আপনার একযোগে শুনছেন বাংলাদেশ বেতার ঢাকার ক ছয় ন তিন কিলোহার্টসে এসএম এক শূন্য ছয় মেগা হার্টসে ওয়েবসাইট ডাব্লিউ ডাব্লিউ ডাব্লিউ ডা বেতার ডটগভ ডটবিডি ফেসবুক বাংলাদেশ বেতার বাংলায় এছাড়া ভিডিওসাও দেখছেন বাংলাদেশ বেতার এনবিএইচে শ্রোতা বন্ধুরা আপনারা বা"&amp;"ংলাদেশ বেতারে অ্যাপসের মাধ্যমে এই অনুষ্ঠানটি দেশে বিদেশে শুনতে পারবেন আমাদের সাথে ফোনে কথা বলুন ফোননামা লিখে নিন শূন্য দুই যুদ্ধ হবে প্রথমেই")</f>
        <v>স্থানটি আপনার একযোগে শুনছেন বাংলাদেশ বেতার ঢাকার ক ছয় ন তিন কিলোহার্টসে এসএম এক শূন্য ছয় মেগা হার্টসে ওয়েবসাইট ডাব্লিউ ডাব্লিউ ডাব্লিউ ডা বেতার ডটগভ ডটবিডি ফেসবুক বাংলাদেশ বেতার বাংলায় এছাড়া ভিডিওসাও দেখছেন বাংলাদেশ বেতার এনবিএইচে শ্রোতা বন্ধুরা আপনারা বাংলাদেশ বেতারে অ্যাপসের মাধ্যমে এই অনুষ্ঠানটি দেশে বিদেশে শুনতে পারবেন আমাদের সাথে ফোনে কথা বলুন ফোননামা লিখে নিন শূন্য দুই যুদ্ধ হবে প্রথমেই</v>
      </c>
      <c r="D68" s="2" t="str">
        <f>IFERROR(__xludf.DUMMYFUNCTION("""COMPUTED_VALUE"""),"Yes")</f>
        <v>Yes</v>
      </c>
      <c r="E68" s="2" t="str">
        <f>IFERROR(__xludf.DUMMYFUNCTION("""COMPUTED_VALUE"""),"No")</f>
        <v>No</v>
      </c>
      <c r="F68" s="2" t="str">
        <f>IFERROR(__xludf.DUMMYFUNCTION("""COMPUTED_VALUE"""),"Yes")</f>
        <v>Yes</v>
      </c>
      <c r="G68" s="2">
        <f>IFERROR(__xludf.DUMMYFUNCTION("""COMPUTED_VALUE"""),1.0)</f>
        <v>1</v>
      </c>
      <c r="H68" s="2">
        <f>IFERROR(__xludf.DUMMYFUNCTION("""COMPUTED_VALUE"""),1.0)</f>
        <v>1</v>
      </c>
      <c r="I68" s="2">
        <f>IFERROR(__xludf.DUMMYFUNCTION("""COMPUTED_VALUE"""),0.5)</f>
        <v>0.5</v>
      </c>
      <c r="J68" s="2">
        <f>IFERROR(__xludf.DUMMYFUNCTION("""COMPUTED_VALUE"""),1.0)</f>
        <v>1</v>
      </c>
      <c r="K68" s="2" t="str">
        <f>IFERROR(__xludf.DUMMYFUNCTION("""COMPUTED_VALUE"""),"5 – High-quality, Clean Bangla speech")</f>
        <v>5 – High-quality, Clean Bangla speech</v>
      </c>
      <c r="L68" s="2" t="str">
        <f>IFERROR(__xludf.DUMMYFUNCTION("""COMPUTED_VALUE"""),"Yes")</f>
        <v>Yes</v>
      </c>
    </row>
    <row r="69">
      <c r="A69" s="2" t="str">
        <f>IFERROR(__xludf.DUMMYFUNCTION("""COMPUTED_VALUE"""),"\collect\read\YouTube\TORONGO\_2X8LOMTO_Y\e9f0b413-f8b5-4ba9-86e5-7422d5b046bc.flac")</f>
        <v>\collect\read\YouTube\TORONGO\_2X8LOMTO_Y\e9f0b413-f8b5-4ba9-86e5-7422d5b046bc.flac</v>
      </c>
      <c r="B69" s="2">
        <f>IFERROR(__xludf.DUMMYFUNCTION("""COMPUTED_VALUE"""),30.0)</f>
        <v>30</v>
      </c>
      <c r="C69" s="2" t="str">
        <f>IFERROR(__xludf.DUMMYFUNCTION("""COMPUTED_VALUE"""),"ঠিক দুজন ভালো লাগছে কো আমার জানতে চাওয়ার বিষয় হচ্ছে যে ভিটামিনের মানুষের জীবনে অবশ্যই প্রয়োজনীয়তা আছে বলে আমি মনে করি ভিটামিন আসলে ভিটামিন যে বাজার থেকে কিন্তু ভিটামিন ক্যাপছিল অনেকেই কিনে খাই আমার শাক সবজি থাকিও ভিটামিন কিন্তু পাওয়া যায় তা আসলে কোলটাব গু"&amp;"রুত্বপূর্ণ আাতেকেছু ভিটামিন ট্যাবলেটে আমরা কিনি খাই সেটা আছে ভিটামিন বেশি আছে নাকি আমরা র মধ্যে যেটা পায় সেটা বেশি আছে এ সম্পর্কে আমাদের যদি একটু জানা বেন টা খুব ভালো প্রশ্ন করেছেন ডাক্তার বিপুল ধন্যবাদ আসলে যেটা আমরা")</f>
        <v>ঠিক দুজন ভালো লাগছে কো আমার জানতে চাওয়ার বিষয় হচ্ছে যে ভিটামিনের মানুষের জীবনে অবশ্যই প্রয়োজনীয়তা আছে বলে আমি মনে করি ভিটামিন আসলে ভিটামিন যে বাজার থেকে কিন্তু ভিটামিন ক্যাপছিল অনেকেই কিনে খাই আমার শাক সবজি থাকিও ভিটামিন কিন্তু পাওয়া যায় তা আসলে কোলটাব গুরুত্বপূর্ণ আাতেকেছু ভিটামিন ট্যাবলেটে আমরা কিনি খাই সেটা আছে ভিটামিন বেশি আছে নাকি আমরা র মধ্যে যেটা পায় সেটা বেশি আছে এ সম্পর্কে আমাদের যদি একটু জানা বেন টা খুব ভালো প্রশ্ন করেছেন ডাক্তার বিপুল ধন্যবাদ আসলে যেটা আমরা</v>
      </c>
      <c r="D69" s="2" t="str">
        <f>IFERROR(__xludf.DUMMYFUNCTION("""COMPUTED_VALUE"""),"Yes")</f>
        <v>Yes</v>
      </c>
      <c r="E69" s="2" t="str">
        <f>IFERROR(__xludf.DUMMYFUNCTION("""COMPUTED_VALUE"""),"Yes")</f>
        <v>Yes</v>
      </c>
      <c r="F69" s="2" t="str">
        <f>IFERROR(__xludf.DUMMYFUNCTION("""COMPUTED_VALUE"""),"Yes")</f>
        <v>Yes</v>
      </c>
      <c r="G69" s="2">
        <f>IFERROR(__xludf.DUMMYFUNCTION("""COMPUTED_VALUE"""),0.5)</f>
        <v>0.5</v>
      </c>
      <c r="H69" s="2">
        <f>IFERROR(__xludf.DUMMYFUNCTION("""COMPUTED_VALUE"""),1.0)</f>
        <v>1</v>
      </c>
      <c r="I69" s="2">
        <f>IFERROR(__xludf.DUMMYFUNCTION("""COMPUTED_VALUE"""),0.5)</f>
        <v>0.5</v>
      </c>
      <c r="J69" s="2">
        <f>IFERROR(__xludf.DUMMYFUNCTION("""COMPUTED_VALUE"""),1.0)</f>
        <v>1</v>
      </c>
      <c r="K69" s="2" t="str">
        <f>IFERROR(__xludf.DUMMYFUNCTION("""COMPUTED_VALUE"""),"4– Usable, minor flaws Minor background noise.")</f>
        <v>4– Usable, minor flaws Minor background noise.</v>
      </c>
      <c r="L69" s="2" t="str">
        <f>IFERROR(__xludf.DUMMYFUNCTION("""COMPUTED_VALUE"""),"No")</f>
        <v>No</v>
      </c>
    </row>
    <row r="70">
      <c r="A70" s="2" t="str">
        <f>IFERROR(__xludf.DUMMYFUNCTION("""COMPUTED_VALUE"""),"\collect\read\YouTube\TORONGO\_2X8LOMTO_Y\f40b803b-505a-4d1d-ac24-aae870522b86.flac")</f>
        <v>\collect\read\YouTube\TORONGO\_2X8LOMTO_Y\f40b803b-505a-4d1d-ac24-aae870522b86.flac</v>
      </c>
      <c r="B70" s="2">
        <f>IFERROR(__xludf.DUMMYFUNCTION("""COMPUTED_VALUE"""),30.0)</f>
        <v>30</v>
      </c>
      <c r="C70" s="2" t="str">
        <f>IFERROR(__xludf.DUMMYFUNCTION("""COMPUTED_VALUE"""),"এর সাথে লিচুর সাথে এই প্যাকেট জুসের পার্থক্যটা কোথায় ডাক্তার বিপুল ধন্যবাদ যে আম লিচুটা আমরা আসলে গাছ থেকে পারি এবং বাচ্চাদেরকে খাওয়া এবং ঘোম মেডাআমে নিজের হাতে আমি জুসটা তৈরি করছি সেটার সাথে এই যে প্রক্রিয়াজাতকরণ যে প্যাকেজজাত খাবার আছে সেটার একদম ফর্ট ড"&amp;"িফারেন্স আসলে যেএটা কেমিক্যাল দিয়ে যেগু প্রিজারভেটিভ ইউজ করা হয় যে বাইরে জুজগুলো বিশেষ করে জাংক ফুডগুলা এগুলো কিন্তু বাচ্চাদেরকে অনেক সময় মানে অনেক ধরনের রোগের সম্মুখীন করে")</f>
        <v>এর সাথে লিচুর সাথে এই প্যাকেট জুসের পার্থক্যটা কোথায় ডাক্তার বিপুল ধন্যবাদ যে আম লিচুটা আমরা আসলে গাছ থেকে পারি এবং বাচ্চাদেরকে খাওয়া এবং ঘোম মেডাআমে নিজের হাতে আমি জুসটা তৈরি করছি সেটার সাথে এই যে প্রক্রিয়াজাতকরণ যে প্যাকেজজাত খাবার আছে সেটার একদম ফর্ট ডিফারেন্স আসলে যেএটা কেমিক্যাল দিয়ে যেগু প্রিজারভেটিভ ইউজ করা হয় যে বাইরে জুজগুলো বিশেষ করে জাংক ফুডগুলা এগুলো কিন্তু বাচ্চাদেরকে অনেক সময় মানে অনেক ধরনের রোগের সম্মুখীন করে</v>
      </c>
      <c r="D70" s="2" t="str">
        <f>IFERROR(__xludf.DUMMYFUNCTION("""COMPUTED_VALUE"""),"Yes")</f>
        <v>Yes</v>
      </c>
      <c r="E70" s="2" t="str">
        <f>IFERROR(__xludf.DUMMYFUNCTION("""COMPUTED_VALUE"""),"No")</f>
        <v>No</v>
      </c>
      <c r="F70" s="2" t="str">
        <f>IFERROR(__xludf.DUMMYFUNCTION("""COMPUTED_VALUE"""),"Yes")</f>
        <v>Yes</v>
      </c>
      <c r="G70" s="2">
        <f>IFERROR(__xludf.DUMMYFUNCTION("""COMPUTED_VALUE"""),0.5)</f>
        <v>0.5</v>
      </c>
      <c r="H70" s="2">
        <f>IFERROR(__xludf.DUMMYFUNCTION("""COMPUTED_VALUE"""),1.0)</f>
        <v>1</v>
      </c>
      <c r="I70" s="2">
        <f>IFERROR(__xludf.DUMMYFUNCTION("""COMPUTED_VALUE"""),0.5)</f>
        <v>0.5</v>
      </c>
      <c r="J70" s="2">
        <f>IFERROR(__xludf.DUMMYFUNCTION("""COMPUTED_VALUE"""),1.0)</f>
        <v>1</v>
      </c>
      <c r="K70" s="2" t="str">
        <f>IFERROR(__xludf.DUMMYFUNCTION("""COMPUTED_VALUE"""),"5 – High-quality, Clean Bangla speech")</f>
        <v>5 – High-quality, Clean Bangla speech</v>
      </c>
      <c r="L70" s="2" t="str">
        <f>IFERROR(__xludf.DUMMYFUNCTION("""COMPUTED_VALUE"""),"Yes")</f>
        <v>Yes</v>
      </c>
    </row>
    <row r="71">
      <c r="A71" s="2" t="str">
        <f>IFERROR(__xludf.DUMMYFUNCTION("""COMPUTED_VALUE"""),"\collect\read\YouTube\TORONGO\_2X8LOMTO_Y\fd23b699-befb-4af4-b506-b665f91f861d.flac")</f>
        <v>\collect\read\YouTube\TORONGO\_2X8LOMTO_Y\fd23b699-befb-4af4-b506-b665f91f861d.flac</v>
      </c>
      <c r="B71" s="2">
        <f>IFERROR(__xludf.DUMMYFUNCTION("""COMPUTED_VALUE"""),30.0)</f>
        <v>30</v>
      </c>
      <c r="C71" s="2" t="str">
        <f>IFERROR(__xludf.DUMMYFUNCTION("""COMPUTED_VALUE"""),"পেইট আমাদের শরীরে বিভিন্ন রকমের এফেক্ট করে থাকে যেগুলো নিয়ে আমরা পরবর্তীতে আলোচনা করব এক্ষেত্রে দেখা যাচ্ছে এই যে আমি একটু গুরুত্ব আরোপ করছি এই যে আমাদের ভিটামিনে প্লাস ক্যাম্পেইনটা এই যে আমাদের যে একটা দেশে একটা মহামারি হয়ে চলছে এখনো তারমধ্যেও যে এক ক্যা"&amp;"ম্পেইনটাচালিত আছে তার জন্য আমি সাধুবাদ জানাই ওস্বাস্থ্য মন্ত্রণালয় এবং ন্যাশনাল ইিউট্রেশন সার্ভিসকে এনএনএসকে এবং এর মধ্যে এই যে ভিটামিন এ প্লাস ক্যাম্পেইনটা চলছে এ")</f>
        <v>পেইট আমাদের শরীরে বিভিন্ন রকমের এফেক্ট করে থাকে যেগুলো নিয়ে আমরা পরবর্তীতে আলোচনা করব এক্ষেত্রে দেখা যাচ্ছে এই যে আমি একটু গুরুত্ব আরোপ করছি এই যে আমাদের ভিটামিনে প্লাস ক্যাম্পেইনটা এই যে আমাদের যে একটা দেশে একটা মহামারি হয়ে চলছে এখনো তারমধ্যেও যে এক ক্যাম্পেইনটাচালিত আছে তার জন্য আমি সাধুবাদ জানাই ওস্বাস্থ্য মন্ত্রণালয় এবং ন্যাশনাল ইিউট্রেশন সার্ভিসকে এনএনএসকে এবং এর মধ্যে এই যে ভিটামিন এ প্লাস ক্যাম্পেইনটা চলছে এ</v>
      </c>
      <c r="D71" s="2" t="str">
        <f>IFERROR(__xludf.DUMMYFUNCTION("""COMPUTED_VALUE"""),"Yes")</f>
        <v>Yes</v>
      </c>
      <c r="E71" s="2" t="str">
        <f>IFERROR(__xludf.DUMMYFUNCTION("""COMPUTED_VALUE"""),"No")</f>
        <v>No</v>
      </c>
      <c r="F71" s="2" t="str">
        <f>IFERROR(__xludf.DUMMYFUNCTION("""COMPUTED_VALUE"""),"No")</f>
        <v>No</v>
      </c>
      <c r="G71" s="2">
        <f>IFERROR(__xludf.DUMMYFUNCTION("""COMPUTED_VALUE"""),0.5)</f>
        <v>0.5</v>
      </c>
      <c r="H71" s="2">
        <f>IFERROR(__xludf.DUMMYFUNCTION("""COMPUTED_VALUE"""),0.5)</f>
        <v>0.5</v>
      </c>
      <c r="I71" s="2">
        <f>IFERROR(__xludf.DUMMYFUNCTION("""COMPUTED_VALUE"""),0.5)</f>
        <v>0.5</v>
      </c>
      <c r="J71" s="2">
        <f>IFERROR(__xludf.DUMMYFUNCTION("""COMPUTED_VALUE"""),1.0)</f>
        <v>1</v>
      </c>
      <c r="K71" s="2" t="str">
        <f>IFERROR(__xludf.DUMMYFUNCTION("""COMPUTED_VALUE"""),"5 – High-quality, Clean Bangla speech")</f>
        <v>5 – High-quality, Clean Bangla speech</v>
      </c>
      <c r="L71" s="2" t="str">
        <f>IFERROR(__xludf.DUMMYFUNCTION("""COMPUTED_VALUE"""),"No")</f>
        <v>No</v>
      </c>
    </row>
    <row r="72">
      <c r="A72" s="2" t="str">
        <f>IFERROR(__xludf.DUMMYFUNCTION("""COMPUTED_VALUE"""),"\collect\read\YouTube\TORONGO\_2X8LOMTO_Y\fd967c2e-2f30-4030-b4be-68b77e94c833.flac")</f>
        <v>\collect\read\YouTube\TORONGO\_2X8LOMTO_Y\fd967c2e-2f30-4030-b4be-68b77e94c833.flac</v>
      </c>
      <c r="B72" s="2">
        <f>IFERROR(__xludf.DUMMYFUNCTION("""COMPUTED_VALUE"""),30.0)</f>
        <v>30</v>
      </c>
      <c r="C72" s="2" t="str">
        <f>IFERROR(__xludf.DUMMYFUNCTION("""COMPUTED_VALUE"""),"মুক্ত থাকতে পারব যেমন হচ্ছে আমরা রোগ প্রতিরোধ ক্ষমতা বৃদ্ধি পাবে আমাদের চামড়া যে ত্বকের যে মসৃণতা সেটা উজ্জ্বলতা বৃদ্ধি পাবে তারপর হচ্ছে আমাদের শরীরে যে রোগ প্রতিরোধ ক্ষমতায় সেটা গড়ে উঠবে এবং আমরা যেটা বলি যে আমাদের এই ভিটামিন এর গুরুত্ব বা তাৎপর্য এবং এব"&amp;"ং ইনতার প্রতি কেন আমরা গুরুত্ব দিচ্ছে যে রাত কানা রোগটা বিশেষ করে আমাদের যেটা আগে দেখা যাত এখন উত্তুশিটা দেখা যাচ্ছে না এবং আমাদের এই মহামারিকারীন সময়োক আমার কিন্তু শিশু মৃত্যুর হার তা আমরা বলব যে অনেক রকম এই ভিটামিন")</f>
        <v>মুক্ত থাকতে পারব যেমন হচ্ছে আমরা রোগ প্রতিরোধ ক্ষমতা বৃদ্ধি পাবে আমাদের চামড়া যে ত্বকের যে মসৃণতা সেটা উজ্জ্বলতা বৃদ্ধি পাবে তারপর হচ্ছে আমাদের শরীরে যে রোগ প্রতিরোধ ক্ষমতায় সেটা গড়ে উঠবে এবং আমরা যেটা বলি যে আমাদের এই ভিটামিন এর গুরুত্ব বা তাৎপর্য এবং এবং ইনতার প্রতি কেন আমরা গুরুত্ব দিচ্ছে যে রাত কানা রোগটা বিশেষ করে আমাদের যেটা আগে দেখা যাত এখন উত্তুশিটা দেখা যাচ্ছে না এবং আমাদের এই মহামারিকারীন সময়োক আমার কিন্তু শিশু মৃত্যুর হার তা আমরা বলব যে অনেক রকম এই ভিটামিন</v>
      </c>
      <c r="D72" s="2" t="str">
        <f>IFERROR(__xludf.DUMMYFUNCTION("""COMPUTED_VALUE"""),"Yes")</f>
        <v>Yes</v>
      </c>
      <c r="E72" s="2" t="str">
        <f>IFERROR(__xludf.DUMMYFUNCTION("""COMPUTED_VALUE"""),"No")</f>
        <v>No</v>
      </c>
      <c r="F72" s="2" t="str">
        <f>IFERROR(__xludf.DUMMYFUNCTION("""COMPUTED_VALUE"""),"No")</f>
        <v>No</v>
      </c>
      <c r="G72" s="2">
        <f>IFERROR(__xludf.DUMMYFUNCTION("""COMPUTED_VALUE"""),1.0)</f>
        <v>1</v>
      </c>
      <c r="H72" s="2">
        <f>IFERROR(__xludf.DUMMYFUNCTION("""COMPUTED_VALUE"""),1.0)</f>
        <v>1</v>
      </c>
      <c r="I72" s="2">
        <f>IFERROR(__xludf.DUMMYFUNCTION("""COMPUTED_VALUE"""),0.5)</f>
        <v>0.5</v>
      </c>
      <c r="J72" s="2">
        <f>IFERROR(__xludf.DUMMYFUNCTION("""COMPUTED_VALUE"""),1.0)</f>
        <v>1</v>
      </c>
      <c r="K72" s="2" t="str">
        <f>IFERROR(__xludf.DUMMYFUNCTION("""COMPUTED_VALUE"""),"5 – High-quality, Clean Bangla speech")</f>
        <v>5 – High-quality, Clean Bangla speech</v>
      </c>
      <c r="L72" s="2"/>
    </row>
    <row r="73">
      <c r="A73" s="2" t="str">
        <f>IFERROR(__xludf.DUMMYFUNCTION("""COMPUTED_VALUE"""),"\collect\read\YouTube\TORONGO\_dUQ4QvI2nc\fd967c2e-2f30-4030-b4be-68b77e94c833.flac")</f>
        <v>\collect\read\YouTube\TORONGO\_dUQ4QvI2nc\fd967c2e-2f30-4030-b4be-68b77e94c833.flac</v>
      </c>
      <c r="B73" s="2">
        <f>IFERROR(__xludf.DUMMYFUNCTION("""COMPUTED_VALUE"""),30.0)</f>
        <v>30</v>
      </c>
      <c r="C73" s="2" t="str">
        <f>IFERROR(__xludf.DUMMYFUNCTION("""COMPUTED_VALUE"""),"পুঁড়ে পুঁড়ে সাংস্কৃতিক ঐতিহ্যে সমৃদ্ধভাণ্ডারী বর্ষার অপরূপ রূপ বর্ণনা স্থিত মুর্ত ও চিরকালীন হয়ে আছে এসময়ে প্রকৃতির নানা বদলও আমাদের অন্যরকম অনুভূতি দেয় গ্রীষ্মের ধুলোমলিন জীর্ণতা ধুয়ে গাঢ় সবুজের সমারোহে প্রকৃতি সেজে ওঠে পৌরণতায় নদীতে উপচে পড়া জল আকাশেও ঘ"&amp;"ন মেঘের ঘন ঘটায় সে আসে আমাদের মাঝে বর্ষার সতেজ বাতাসে জুন কামিনী বেলি রজনী")</f>
        <v>পুঁড়ে পুঁড়ে সাংস্কৃতিক ঐতিহ্যে সমৃদ্ধভাণ্ডারী বর্ষার অপরূপ রূপ বর্ণনা স্থিত মুর্ত ও চিরকালীন হয়ে আছে এসময়ে প্রকৃতির নানা বদলও আমাদের অন্যরকম অনুভূতি দেয় গ্রীষ্মের ধুলোমলিন জীর্ণতা ধুয়ে গাঢ় সবুজের সমারোহে প্রকৃতি সেজে ওঠে পৌরণতায় নদীতে উপচে পড়া জল আকাশেও ঘন মেঘের ঘন ঘটায় সে আসে আমাদের মাঝে বর্ষার সতেজ বাতাসে জুন কামিনী বেলি রজনী</v>
      </c>
      <c r="D73" s="2" t="str">
        <f>IFERROR(__xludf.DUMMYFUNCTION("""COMPUTED_VALUE"""),"Yes")</f>
        <v>Yes</v>
      </c>
      <c r="E73" s="2" t="str">
        <f>IFERROR(__xludf.DUMMYFUNCTION("""COMPUTED_VALUE"""),"Yes")</f>
        <v>Yes</v>
      </c>
      <c r="F73" s="2" t="str">
        <f>IFERROR(__xludf.DUMMYFUNCTION("""COMPUTED_VALUE"""),"Yes")</f>
        <v>Yes</v>
      </c>
      <c r="G73" s="2">
        <f>IFERROR(__xludf.DUMMYFUNCTION("""COMPUTED_VALUE"""),0.5)</f>
        <v>0.5</v>
      </c>
      <c r="H73" s="2">
        <f>IFERROR(__xludf.DUMMYFUNCTION("""COMPUTED_VALUE"""),1.0)</f>
        <v>1</v>
      </c>
      <c r="I73" s="2">
        <f>IFERROR(__xludf.DUMMYFUNCTION("""COMPUTED_VALUE"""),0.5)</f>
        <v>0.5</v>
      </c>
      <c r="J73" s="2">
        <f>IFERROR(__xludf.DUMMYFUNCTION("""COMPUTED_VALUE"""),1.0)</f>
        <v>1</v>
      </c>
      <c r="K73" s="2" t="str">
        <f>IFERROR(__xludf.DUMMYFUNCTION("""COMPUTED_VALUE"""),"5 – High-quality, Clean Bangla speech")</f>
        <v>5 – High-quality, Clean Bangla speech</v>
      </c>
      <c r="L73" s="2" t="str">
        <f>IFERROR(__xludf.DUMMYFUNCTION("""COMPUTED_VALUE"""),"No")</f>
        <v>No</v>
      </c>
    </row>
    <row r="74">
      <c r="A74" s="2" t="str">
        <f>IFERROR(__xludf.DUMMYFUNCTION("""COMPUTED_VALUE"""),"\collect\read\YouTube\TORONGO\_dUQ4QvI2nc\035ee9e6-10f9-4401-b532-f178394d83ae.flac")</f>
        <v>\collect\read\YouTube\TORONGO\_dUQ4QvI2nc\035ee9e6-10f9-4401-b532-f178394d83ae.flac</v>
      </c>
      <c r="B74" s="2">
        <f>IFERROR(__xludf.DUMMYFUNCTION("""COMPUTED_VALUE"""),30.0)</f>
        <v>30</v>
      </c>
      <c r="C74" s="2" t="str">
        <f>IFERROR(__xludf.DUMMYFUNCTION("""COMPUTED_VALUE"""),"মঞ্চ রেডিও টেলিভিশন এবং চলচ্চিত্রে গেয়েছেন আজব দিকিয়ে যাচ্ছেন আমি নিশ্চিত তার মিষ্টি অনিন্দ সুন্দর কণ্ঠে বহুবার আপনারা গান শুনেছেন হযায় বন্ধিরা বলছিলাম প্রখ্যাত সংগীত শিল্পী সালমা জাহানের কথা হ্যাঁ শ্রোতেবন্থীরা আর কথা নয় চলুন তার সঙ্গীতের ক্যারিয়ার এবং স"&amp;"াংসারিক জীবনের গল্প শুনি তাঁর কাছ থেকে এবং শুরুতেই জানতে চাই যে সঙ্গী")</f>
        <v>মঞ্চ রেডিও টেলিভিশন এবং চলচ্চিত্রে গেয়েছেন আজব দিকিয়ে যাচ্ছেন আমি নিশ্চিত তার মিষ্টি অনিন্দ সুন্দর কণ্ঠে বহুবার আপনারা গান শুনেছেন হযায় বন্ধিরা বলছিলাম প্রখ্যাত সংগীত শিল্পী সালমা জাহানের কথা হ্যাঁ শ্রোতেবন্থীরা আর কথা নয় চলুন তার সঙ্গীতের ক্যারিয়ার এবং সাংসারিক জীবনের গল্প শুনি তাঁর কাছ থেকে এবং শুরুতেই জানতে চাই যে সঙ্গী</v>
      </c>
      <c r="D74" s="2" t="str">
        <f>IFERROR(__xludf.DUMMYFUNCTION("""COMPUTED_VALUE"""),"Yes")</f>
        <v>Yes</v>
      </c>
      <c r="E74" s="2" t="str">
        <f>IFERROR(__xludf.DUMMYFUNCTION("""COMPUTED_VALUE"""),"No")</f>
        <v>No</v>
      </c>
      <c r="F74" s="2" t="str">
        <f>IFERROR(__xludf.DUMMYFUNCTION("""COMPUTED_VALUE"""),"No")</f>
        <v>No</v>
      </c>
      <c r="G74" s="2">
        <f>IFERROR(__xludf.DUMMYFUNCTION("""COMPUTED_VALUE"""),0.5)</f>
        <v>0.5</v>
      </c>
      <c r="H74" s="2">
        <f>IFERROR(__xludf.DUMMYFUNCTION("""COMPUTED_VALUE"""),1.0)</f>
        <v>1</v>
      </c>
      <c r="I74" s="2">
        <f>IFERROR(__xludf.DUMMYFUNCTION("""COMPUTED_VALUE"""),0.5)</f>
        <v>0.5</v>
      </c>
      <c r="J74" s="2">
        <f>IFERROR(__xludf.DUMMYFUNCTION("""COMPUTED_VALUE"""),1.0)</f>
        <v>1</v>
      </c>
      <c r="K74" s="2" t="str">
        <f>IFERROR(__xludf.DUMMYFUNCTION("""COMPUTED_VALUE"""),"5 – High-quality, Clean Bangla speech")</f>
        <v>5 – High-quality, Clean Bangla speech</v>
      </c>
      <c r="L74" s="2" t="str">
        <f>IFERROR(__xludf.DUMMYFUNCTION("""COMPUTED_VALUE"""),"No")</f>
        <v>No</v>
      </c>
    </row>
    <row r="75">
      <c r="A75" s="2" t="str">
        <f>IFERROR(__xludf.DUMMYFUNCTION("""COMPUTED_VALUE"""),"\collect\read\YouTube\TORONGO\_dUQ4QvI2nc\07a1b3be-20ef-40c9-88ba-d19237016bc3.flac")</f>
        <v>\collect\read\YouTube\TORONGO\_dUQ4QvI2nc\07a1b3be-20ef-40c9-88ba-d19237016bc3.flac</v>
      </c>
      <c r="B75" s="2">
        <f>IFERROR(__xludf.DUMMYFUNCTION("""COMPUTED_VALUE"""),30.0)</f>
        <v>30</v>
      </c>
      <c r="C75" s="2" t="str">
        <f>IFERROR(__xludf.DUMMYFUNCTION("""COMPUTED_VALUE"""),"এটি ভাগ্যেরও একটা ব্যাপার যে অনেক শিল্পী আছেন যে আপনি আমার অভিজ্ঞতায় যেটা বলে অনেক গান গেয়েছেন তিনি হয়তো কিন্তু জনপ্রিয়তা পাওয়া বাস্রোতা নন্দিত হওয়া সে গানের সংখ্যা কিন্তু খুব কম হ্যা আপনার কিন্তু মোটামুটি আমি বিশেষ করে ফিল্মে ফিল্মমেজ হ্যা আমি বেশ কয়েকটা"&amp;" গান করতে পেরেছি যে গানগুলো মানুষের মনে এখনো গেথে আছে গেঁথে আছে সত্যি আমার সৌভাগ্যইটা এবং শুভ কামনা থাকলো আপনার জন্য পোশাল যে আপনি")</f>
        <v>এটি ভাগ্যেরও একটা ব্যাপার যে অনেক শিল্পী আছেন যে আপনি আমার অভিজ্ঞতায় যেটা বলে অনেক গান গেয়েছেন তিনি হয়তো কিন্তু জনপ্রিয়তা পাওয়া বাস্রোতা নন্দিত হওয়া সে গানের সংখ্যা কিন্তু খুব কম হ্যা আপনার কিন্তু মোটামুটি আমি বিশেষ করে ফিল্মে ফিল্মমেজ হ্যা আমি বেশ কয়েকটা গান করতে পেরেছি যে গানগুলো মানুষের মনে এখনো গেথে আছে গেঁথে আছে সত্যি আমার সৌভাগ্যইটা এবং শুভ কামনা থাকলো আপনার জন্য পোশাল যে আপনি</v>
      </c>
      <c r="D75" s="2" t="str">
        <f>IFERROR(__xludf.DUMMYFUNCTION("""COMPUTED_VALUE"""),"Yes")</f>
        <v>Yes</v>
      </c>
      <c r="E75" s="2" t="str">
        <f>IFERROR(__xludf.DUMMYFUNCTION("""COMPUTED_VALUE"""),"No")</f>
        <v>No</v>
      </c>
      <c r="F75" s="2" t="str">
        <f>IFERROR(__xludf.DUMMYFUNCTION("""COMPUTED_VALUE"""),"Yes")</f>
        <v>Yes</v>
      </c>
      <c r="G75" s="2">
        <f>IFERROR(__xludf.DUMMYFUNCTION("""COMPUTED_VALUE"""),0.5)</f>
        <v>0.5</v>
      </c>
      <c r="H75" s="2">
        <f>IFERROR(__xludf.DUMMYFUNCTION("""COMPUTED_VALUE"""),1.0)</f>
        <v>1</v>
      </c>
      <c r="I75" s="2">
        <f>IFERROR(__xludf.DUMMYFUNCTION("""COMPUTED_VALUE"""),0.5)</f>
        <v>0.5</v>
      </c>
      <c r="J75" s="2">
        <f>IFERROR(__xludf.DUMMYFUNCTION("""COMPUTED_VALUE"""),1.0)</f>
        <v>1</v>
      </c>
      <c r="K75" s="2" t="str">
        <f>IFERROR(__xludf.DUMMYFUNCTION("""COMPUTED_VALUE"""),"5 – High-quality, Clean Bangla speech")</f>
        <v>5 – High-quality, Clean Bangla speech</v>
      </c>
      <c r="L75" s="2" t="str">
        <f>IFERROR(__xludf.DUMMYFUNCTION("""COMPUTED_VALUE"""),"No")</f>
        <v>No</v>
      </c>
    </row>
    <row r="76">
      <c r="A76" s="2" t="str">
        <f>IFERROR(__xludf.DUMMYFUNCTION("""COMPUTED_VALUE"""),"\collect\read\YouTube\TORONGO\_dUQ4QvI2nc\082dfcd3-161c-4489-8f68-b19c414c0c2e.flac")</f>
        <v>\collect\read\YouTube\TORONGO\_dUQ4QvI2nc\082dfcd3-161c-4489-8f68-b19c414c0c2e.flac</v>
      </c>
      <c r="B76" s="2">
        <f>IFERROR(__xludf.DUMMYFUNCTION("""COMPUTED_VALUE"""),30.0)</f>
        <v>30</v>
      </c>
      <c r="C76" s="2" t="str">
        <f>IFERROR(__xludf.DUMMYFUNCTION("""COMPUTED_VALUE"""),"এপর সাথে ঘর পরি যায় কাছেই কাছি থেকেউ যে তবু ছিনাম বরসারের পক কফ কলে কাকে আছি সবিকটা কন কা তেন আালনন্দি যদি কাপিত আার পসেদিন তাঁহার সাথে কর পরিচয় আছেথেকেও যে করু আছে না নায়")</f>
        <v>এপর সাথে ঘর পরি যায় কাছেই কাছি থেকেউ যে তবু ছিনাম বরসারের পক কফ কলে কাকে আছি সবিকটা কন কা তেন আালনন্দি যদি কাপিত আার পসেদিন তাঁহার সাথে কর পরিচয় আছেথেকেও যে করু আছে না নায়</v>
      </c>
      <c r="D76" s="2" t="str">
        <f>IFERROR(__xludf.DUMMYFUNCTION("""COMPUTED_VALUE"""),"No")</f>
        <v>No</v>
      </c>
      <c r="E76" s="2" t="str">
        <f>IFERROR(__xludf.DUMMYFUNCTION("""COMPUTED_VALUE"""),"Yes")</f>
        <v>Yes</v>
      </c>
      <c r="F76" s="2" t="str">
        <f>IFERROR(__xludf.DUMMYFUNCTION("""COMPUTED_VALUE"""),"Yes")</f>
        <v>Yes</v>
      </c>
      <c r="G76" s="2">
        <f>IFERROR(__xludf.DUMMYFUNCTION("""COMPUTED_VALUE"""),0.0)</f>
        <v>0</v>
      </c>
      <c r="H76" s="2">
        <f>IFERROR(__xludf.DUMMYFUNCTION("""COMPUTED_VALUE"""),0.0)</f>
        <v>0</v>
      </c>
      <c r="I76" s="2">
        <f>IFERROR(__xludf.DUMMYFUNCTION("""COMPUTED_VALUE"""),0.0)</f>
        <v>0</v>
      </c>
      <c r="J76" s="2">
        <f>IFERROR(__xludf.DUMMYFUNCTION("""COMPUTED_VALUE"""),0.0)</f>
        <v>0</v>
      </c>
      <c r="K76" s="2" t="str">
        <f>IFERROR(__xludf.DUMMYFUNCTION("""COMPUTED_VALUE"""),"5 – High-quality, Clean Bangla speech")</f>
        <v>5 – High-quality, Clean Bangla speech</v>
      </c>
      <c r="L76" s="2" t="str">
        <f>IFERROR(__xludf.DUMMYFUNCTION("""COMPUTED_VALUE"""),"No")</f>
        <v>No</v>
      </c>
    </row>
    <row r="77">
      <c r="A77" s="2" t="str">
        <f>IFERROR(__xludf.DUMMYFUNCTION("""COMPUTED_VALUE"""),"\collect\read\YouTube\TORONGO\_dUQ4QvI2nc\0ea8ba9c-e150-4f3a-87fd-bfccbc17cd8f.flac")</f>
        <v>\collect\read\YouTube\TORONGO\_dUQ4QvI2nc\0ea8ba9c-e150-4f3a-87fd-bfccbc17cd8f.flac</v>
      </c>
      <c r="B77" s="2">
        <f>IFERROR(__xludf.DUMMYFUNCTION("""COMPUTED_VALUE"""),30.0)</f>
        <v>30</v>
      </c>
      <c r="C77" s="2" t="str">
        <f>IFERROR(__xludf.DUMMYFUNCTION("""COMPUTED_VALUE"""),"তু নবজা তাই সবুজের সমারোহে নতুন প্রাণের বার্তা নিয়ে এসেছে আশার গাছের পাতা টিনের চাল কিংবা ছাদের রেলিং ছুঁয়ে এবং খোলা আকাশের প্রান্তর জুড়ে ঝমঝমিয়ে বৃষ্টিপড়ার দিন শুধু প্রাচীনকাল থেকেই বাংলা সাহিত্ সংস্কৃতি এবং শিল্পকলার অঙ্গন আশার বন্দনাই নিবেদিত উচ্ছ্বসিত"&amp;" কবির কবিতায় শিল্পের সুরে গানে চারুশিল্পী তুলির আঁচরে চলচ্চিত্রে সেলুল অয়েডি নকশী কাঁথার")</f>
        <v>তু নবজা তাই সবুজের সমারোহে নতুন প্রাণের বার্তা নিয়ে এসেছে আশার গাছের পাতা টিনের চাল কিংবা ছাদের রেলিং ছুঁয়ে এবং খোলা আকাশের প্রান্তর জুড়ে ঝমঝমিয়ে বৃষ্টিপড়ার দিন শুধু প্রাচীনকাল থেকেই বাংলা সাহিত্ সংস্কৃতি এবং শিল্পকলার অঙ্গন আশার বন্দনাই নিবেদিত উচ্ছ্বসিত কবির কবিতায় শিল্পের সুরে গানে চারুশিল্পী তুলির আঁচরে চলচ্চিত্রে সেলুল অয়েডি নকশী কাঁথার</v>
      </c>
      <c r="D77" s="2" t="str">
        <f>IFERROR(__xludf.DUMMYFUNCTION("""COMPUTED_VALUE"""),"Yes")</f>
        <v>Yes</v>
      </c>
      <c r="E77" s="2" t="str">
        <f>IFERROR(__xludf.DUMMYFUNCTION("""COMPUTED_VALUE"""),"No")</f>
        <v>No</v>
      </c>
      <c r="F77" s="2" t="str">
        <f>IFERROR(__xludf.DUMMYFUNCTION("""COMPUTED_VALUE"""),"Yes")</f>
        <v>Yes</v>
      </c>
      <c r="G77" s="2">
        <f>IFERROR(__xludf.DUMMYFUNCTION("""COMPUTED_VALUE"""),0.5)</f>
        <v>0.5</v>
      </c>
      <c r="H77" s="2">
        <f>IFERROR(__xludf.DUMMYFUNCTION("""COMPUTED_VALUE"""),1.0)</f>
        <v>1</v>
      </c>
      <c r="I77" s="2">
        <f>IFERROR(__xludf.DUMMYFUNCTION("""COMPUTED_VALUE"""),1.0)</f>
        <v>1</v>
      </c>
      <c r="J77" s="2">
        <f>IFERROR(__xludf.DUMMYFUNCTION("""COMPUTED_VALUE"""),1.0)</f>
        <v>1</v>
      </c>
      <c r="K77" s="2" t="str">
        <f>IFERROR(__xludf.DUMMYFUNCTION("""COMPUTED_VALUE"""),"5 – High-quality, Clean Bangla speech")</f>
        <v>5 – High-quality, Clean Bangla speech</v>
      </c>
      <c r="L77" s="2" t="str">
        <f>IFERROR(__xludf.DUMMYFUNCTION("""COMPUTED_VALUE"""),"No")</f>
        <v>No</v>
      </c>
    </row>
    <row r="78">
      <c r="A78" s="2" t="str">
        <f>IFERROR(__xludf.DUMMYFUNCTION("""COMPUTED_VALUE"""),"\collect\read\YouTube\TORONGO\_dUQ4QvI2nc\0fffa352-4137-4813-955b-7062ca912a0e.flac")</f>
        <v>\collect\read\YouTube\TORONGO\_dUQ4QvI2nc\0fffa352-4137-4813-955b-7062ca912a0e.flac</v>
      </c>
      <c r="B78" s="2">
        <f>IFERROR(__xludf.DUMMYFUNCTION("""COMPUTED_VALUE"""),30.0)</f>
        <v>30</v>
      </c>
      <c r="C78" s="2" t="str">
        <f>IFERROR(__xludf.DUMMYFUNCTION("""COMPUTED_VALUE"""),"এসে চেখালা সোনার আকাশ ও ছে কলা হ তবে কয়েকদিন আগেই গ্রীষ্মের দাবদাহে মানুষ ছিল অস্থির তারই মধ্যেই হঠাৎ বৃষ্টির ঝুমঝুম সব অনেক আগেই মনে করিয়ে দিয়েছি বর্ষাতে এসেই গেছে সেটা কিন্তু বর্ষার বৃষ্টি ছিল না বর্ষার বৃষ্টি শুরু")</f>
        <v>এসে চেখালা সোনার আকাশ ও ছে কলা হ তবে কয়েকদিন আগেই গ্রীষ্মের দাবদাহে মানুষ ছিল অস্থির তারই মধ্যেই হঠাৎ বৃষ্টির ঝুমঝুম সব অনেক আগেই মনে করিয়ে দিয়েছি বর্ষাতে এসেই গেছে সেটা কিন্তু বর্ষার বৃষ্টি ছিল না বর্ষার বৃষ্টি শুরু</v>
      </c>
      <c r="D78" s="2" t="str">
        <f>IFERROR(__xludf.DUMMYFUNCTION("""COMPUTED_VALUE"""),"Yes")</f>
        <v>Yes</v>
      </c>
      <c r="E78" s="2" t="str">
        <f>IFERROR(__xludf.DUMMYFUNCTION("""COMPUTED_VALUE"""),"Yes")</f>
        <v>Yes</v>
      </c>
      <c r="F78" s="2" t="str">
        <f>IFERROR(__xludf.DUMMYFUNCTION("""COMPUTED_VALUE"""),"Yes")</f>
        <v>Yes</v>
      </c>
      <c r="G78" s="2">
        <f>IFERROR(__xludf.DUMMYFUNCTION("""COMPUTED_VALUE"""),0.5)</f>
        <v>0.5</v>
      </c>
      <c r="H78" s="2">
        <f>IFERROR(__xludf.DUMMYFUNCTION("""COMPUTED_VALUE"""),0.5)</f>
        <v>0.5</v>
      </c>
      <c r="I78" s="2">
        <f>IFERROR(__xludf.DUMMYFUNCTION("""COMPUTED_VALUE"""),0.5)</f>
        <v>0.5</v>
      </c>
      <c r="J78" s="2">
        <f>IFERROR(__xludf.DUMMYFUNCTION("""COMPUTED_VALUE"""),1.0)</f>
        <v>1</v>
      </c>
      <c r="K78" s="2" t="str">
        <f>IFERROR(__xludf.DUMMYFUNCTION("""COMPUTED_VALUE"""),"5 – High-quality, Clean Bangla speech")</f>
        <v>5 – High-quality, Clean Bangla speech</v>
      </c>
      <c r="L78" s="2" t="str">
        <f>IFERROR(__xludf.DUMMYFUNCTION("""COMPUTED_VALUE"""),"No")</f>
        <v>No</v>
      </c>
    </row>
    <row r="79">
      <c r="A79" s="2" t="str">
        <f>IFERROR(__xludf.DUMMYFUNCTION("""COMPUTED_VALUE"""),"\collect\read\YouTube\TORONGO\_dUQ4QvI2nc\100e6d12-597d-4318-bd0d-eb5fa09f4207.flac")</f>
        <v>\collect\read\YouTube\TORONGO\_dUQ4QvI2nc\100e6d12-597d-4318-bd0d-eb5fa09f4207.flac</v>
      </c>
      <c r="B79" s="2">
        <f>IFERROR(__xludf.DUMMYFUNCTION("""COMPUTED_VALUE"""),30.0)</f>
        <v>30</v>
      </c>
      <c r="C79" s="2" t="str">
        <f>IFERROR(__xludf.DUMMYFUNCTION("""COMPUTED_VALUE"""),"িক কথা বন্ধুরা আমাদের সকলেই প্রাণের শহর প্রিয় সহর ঢাকা আমাদের দেশের রাজধানী কত কথা কত ইতিহাস লুকিয়ে ছে তার ইট পাথরে ঢাকা অন্তরে তার অনেক কিছু আমাদের অজানা ততে চলুন বন্দিরা আমাদের এই মহানগর ঢাকায় বুড়িগঙ্গায় ভাসমান বোর্ডিং নিয়ে কিছু কথা শুনিয়াসি আমাদের নিয়ম"&amp;"িত পর্ব এই ঢাকা থেকে পর্বটি লিখেছেন মারুফ রায়হান আর তা পড়ি শুনাচ্ছিন সপন গুহ কবিগরি")</f>
        <v>িক কথা বন্ধুরা আমাদের সকলেই প্রাণের শহর প্রিয় সহর ঢাকা আমাদের দেশের রাজধানী কত কথা কত ইতিহাস লুকিয়ে ছে তার ইট পাথরে ঢাকা অন্তরে তার অনেক কিছু আমাদের অজানা ততে চলুন বন্দিরা আমাদের এই মহানগর ঢাকায় বুড়িগঙ্গায় ভাসমান বোর্ডিং নিয়ে কিছু কথা শুনিয়াসি আমাদের নিয়মিত পর্ব এই ঢাকা থেকে পর্বটি লিখেছেন মারুফ রায়হান আর তা পড়ি শুনাচ্ছিন সপন গুহ কবিগরি</v>
      </c>
      <c r="D79" s="2" t="str">
        <f>IFERROR(__xludf.DUMMYFUNCTION("""COMPUTED_VALUE"""),"Yes")</f>
        <v>Yes</v>
      </c>
      <c r="E79" s="2" t="str">
        <f>IFERROR(__xludf.DUMMYFUNCTION("""COMPUTED_VALUE"""),"No")</f>
        <v>No</v>
      </c>
      <c r="F79" s="2" t="str">
        <f>IFERROR(__xludf.DUMMYFUNCTION("""COMPUTED_VALUE"""),"Yes")</f>
        <v>Yes</v>
      </c>
      <c r="G79" s="2">
        <f>IFERROR(__xludf.DUMMYFUNCTION("""COMPUTED_VALUE"""),0.5)</f>
        <v>0.5</v>
      </c>
      <c r="H79" s="2">
        <f>IFERROR(__xludf.DUMMYFUNCTION("""COMPUTED_VALUE"""),1.0)</f>
        <v>1</v>
      </c>
      <c r="I79" s="2">
        <f>IFERROR(__xludf.DUMMYFUNCTION("""COMPUTED_VALUE"""),0.5)</f>
        <v>0.5</v>
      </c>
      <c r="J79" s="2">
        <f>IFERROR(__xludf.DUMMYFUNCTION("""COMPUTED_VALUE"""),1.0)</f>
        <v>1</v>
      </c>
      <c r="K79" s="2" t="str">
        <f>IFERROR(__xludf.DUMMYFUNCTION("""COMPUTED_VALUE"""),"5 – High-quality, Clean Bangla speech")</f>
        <v>5 – High-quality, Clean Bangla speech</v>
      </c>
      <c r="L79" s="2" t="str">
        <f>IFERROR(__xludf.DUMMYFUNCTION("""COMPUTED_VALUE"""),"No")</f>
        <v>No</v>
      </c>
    </row>
    <row r="80">
      <c r="A80" s="2" t="str">
        <f>IFERROR(__xludf.DUMMYFUNCTION("""COMPUTED_VALUE"""),"\collect\read\YouTube\TORONGO\_dUQ4QvI2nc\143dd9b2-0838-4eb5-a4f2-f69197b5b844.flac")</f>
        <v>\collect\read\YouTube\TORONGO\_dUQ4QvI2nc\143dd9b2-0838-4eb5-a4f2-f69197b5b844.flac</v>
      </c>
      <c r="B80" s="2">
        <f>IFERROR(__xludf.DUMMYFUNCTION("""COMPUTED_VALUE"""),30.0)</f>
        <v>30</v>
      </c>
      <c r="C80" s="2" t="str">
        <f>IFERROR(__xludf.DUMMYFUNCTION("""COMPUTED_VALUE"""),"আজ থেকে ঋতু চক্রে আষাঢ় শ্রাবণ দুই মাস মিলি বাংলায় বর্ষাকা মূলত বছরে প্রায় সিংহভাগ বৃষ্টি হয় এই মৌসুমে বলা যায় এদেশে বছরই প্রায় আশি ভাগ বৃষ্টি হয় বর্ষায় যদিও সাহিত্যে বর্ষার রণাবিল যে রূপটি পাওয়া যায় আজকাল তার অনেকটাই বদলে গেছে খোলা সবকিছুই আজকে যেন ঢাকা প"&amp;"ড়েছে ইট কংক্রিটের নগরে বর্ষার প্রকৃত রূপটা ধরার উপায় সামান্যই")</f>
        <v>আজ থেকে ঋতু চক্রে আষাঢ় শ্রাবণ দুই মাস মিলি বাংলায় বর্ষাকা মূলত বছরে প্রায় সিংহভাগ বৃষ্টি হয় এই মৌসুমে বলা যায় এদেশে বছরই প্রায় আশি ভাগ বৃষ্টি হয় বর্ষায় যদিও সাহিত্যে বর্ষার রণাবিল যে রূপটি পাওয়া যায় আজকাল তার অনেকটাই বদলে গেছে খোলা সবকিছুই আজকে যেন ঢাকা পড়েছে ইট কংক্রিটের নগরে বর্ষার প্রকৃত রূপটা ধরার উপায় সামান্যই</v>
      </c>
      <c r="D80" s="2" t="str">
        <f>IFERROR(__xludf.DUMMYFUNCTION("""COMPUTED_VALUE"""),"Yes")</f>
        <v>Yes</v>
      </c>
      <c r="E80" s="2" t="str">
        <f>IFERROR(__xludf.DUMMYFUNCTION("""COMPUTED_VALUE"""),"No")</f>
        <v>No</v>
      </c>
      <c r="F80" s="2" t="str">
        <f>IFERROR(__xludf.DUMMYFUNCTION("""COMPUTED_VALUE"""),"No")</f>
        <v>No</v>
      </c>
      <c r="G80" s="2">
        <f>IFERROR(__xludf.DUMMYFUNCTION("""COMPUTED_VALUE"""),0.5)</f>
        <v>0.5</v>
      </c>
      <c r="H80" s="2">
        <f>IFERROR(__xludf.DUMMYFUNCTION("""COMPUTED_VALUE"""),1.0)</f>
        <v>1</v>
      </c>
      <c r="I80" s="2">
        <f>IFERROR(__xludf.DUMMYFUNCTION("""COMPUTED_VALUE"""),0.5)</f>
        <v>0.5</v>
      </c>
      <c r="J80" s="2">
        <f>IFERROR(__xludf.DUMMYFUNCTION("""COMPUTED_VALUE"""),1.0)</f>
        <v>1</v>
      </c>
      <c r="K80" s="2" t="str">
        <f>IFERROR(__xludf.DUMMYFUNCTION("""COMPUTED_VALUE"""),"5 – High-quality, Clean Bangla speech")</f>
        <v>5 – High-quality, Clean Bangla speech</v>
      </c>
      <c r="L80" s="2" t="str">
        <f>IFERROR(__xludf.DUMMYFUNCTION("""COMPUTED_VALUE"""),"No")</f>
        <v>No</v>
      </c>
    </row>
    <row r="81">
      <c r="A81" s="2" t="str">
        <f>IFERROR(__xludf.DUMMYFUNCTION("""COMPUTED_VALUE"""),"\collect\read\YouTube\TORONGO\_dUQ4QvI2nc\1846bcef-4cb9-46c1-94bc-4e5230d847b2.flac")</f>
        <v>\collect\read\YouTube\TORONGO\_dUQ4QvI2nc\1846bcef-4cb9-46c1-94bc-4e5230d847b2.flac</v>
      </c>
      <c r="B81" s="2">
        <f>IFERROR(__xludf.DUMMYFUNCTION("""COMPUTED_VALUE"""),30.0)</f>
        <v>30</v>
      </c>
      <c r="C81" s="2" t="str">
        <f>IFERROR(__xludf.DUMMYFUNCTION("""COMPUTED_VALUE"""),"ত্ পদ্মার রোতকে যথাসম্ভব বাধাগ্রস্ত না করা সেতু এলাকায় জীববৈচিত্র্য রক্ষা বিশেষত ইলিশের বিষয়টি মাথায় রাখতে হয়েছে সেতু নির্মাণের কারণে পদ্মাশ্রোত যেন বাধাগ্রস্ত না হয় ইলিশ মা চেন পদ্মা বিমুখ না হয় সেজন্য ছিল সর্বোচ্চ সতর্কতা পানি প্রবাহ সম্ভাব্য সর্বোচ্চ ম"&amp;"াত্রায় নির্বিঘ্ন রাখার চেষ্টা কারণ করা হয়েছে এ নিয়ে পদ্মা সেতু প্রকল্পের আন্তর্জাতিক বিশেষজ্ঞ প্যানেলের")</f>
        <v>ত্ পদ্মার রোতকে যথাসম্ভব বাধাগ্রস্ত না করা সেতু এলাকায় জীববৈচিত্র্য রক্ষা বিশেষত ইলিশের বিষয়টি মাথায় রাখতে হয়েছে সেতু নির্মাণের কারণে পদ্মাশ্রোত যেন বাধাগ্রস্ত না হয় ইলিশ মা চেন পদ্মা বিমুখ না হয় সেজন্য ছিল সর্বোচ্চ সতর্কতা পানি প্রবাহ সম্ভাব্য সর্বোচ্চ মাত্রায় নির্বিঘ্ন রাখার চেষ্টা কারণ করা হয়েছে এ নিয়ে পদ্মা সেতু প্রকল্পের আন্তর্জাতিক বিশেষজ্ঞ প্যানেলের</v>
      </c>
      <c r="D81" s="2" t="str">
        <f>IFERROR(__xludf.DUMMYFUNCTION("""COMPUTED_VALUE"""),"Yes")</f>
        <v>Yes</v>
      </c>
      <c r="E81" s="2" t="str">
        <f>IFERROR(__xludf.DUMMYFUNCTION("""COMPUTED_VALUE"""),"No")</f>
        <v>No</v>
      </c>
      <c r="F81" s="2" t="str">
        <f>IFERROR(__xludf.DUMMYFUNCTION("""COMPUTED_VALUE"""),"No")</f>
        <v>No</v>
      </c>
      <c r="G81" s="2">
        <f>IFERROR(__xludf.DUMMYFUNCTION("""COMPUTED_VALUE"""),0.5)</f>
        <v>0.5</v>
      </c>
      <c r="H81" s="2">
        <f>IFERROR(__xludf.DUMMYFUNCTION("""COMPUTED_VALUE"""),1.0)</f>
        <v>1</v>
      </c>
      <c r="I81" s="2">
        <f>IFERROR(__xludf.DUMMYFUNCTION("""COMPUTED_VALUE"""),1.0)</f>
        <v>1</v>
      </c>
      <c r="J81" s="2">
        <f>IFERROR(__xludf.DUMMYFUNCTION("""COMPUTED_VALUE"""),1.0)</f>
        <v>1</v>
      </c>
      <c r="K81" s="2" t="str">
        <f>IFERROR(__xludf.DUMMYFUNCTION("""COMPUTED_VALUE"""),"5 – High-quality, Clean Bangla speech")</f>
        <v>5 – High-quality, Clean Bangla speech</v>
      </c>
      <c r="L81" s="2" t="str">
        <f>IFERROR(__xludf.DUMMYFUNCTION("""COMPUTED_VALUE"""),"No")</f>
        <v>No</v>
      </c>
    </row>
    <row r="82">
      <c r="A82" s="2" t="str">
        <f>IFERROR(__xludf.DUMMYFUNCTION("""COMPUTED_VALUE"""),"\collect\read\YouTube\TORONGO\_dUQ4QvI2nc\23f54493-c914-4c5e-9010-f66084d94537.flac")</f>
        <v>\collect\read\YouTube\TORONGO\_dUQ4QvI2nc\23f54493-c914-4c5e-9010-f66084d94537.flac</v>
      </c>
      <c r="B82" s="2">
        <f>IFERROR(__xludf.DUMMYFUNCTION("""COMPUTED_VALUE"""),30.0)</f>
        <v>30</v>
      </c>
      <c r="C82" s="2" t="str">
        <f>IFERROR(__xludf.DUMMYFUNCTION("""COMPUTED_VALUE"""),"গৌরবিঘ নবযৌগনা বরষা সমগ্রম ভীর সরসা গুরুগর্জনে নিল অরণ্য শিহরী কুতুলা কলাপি কেকাকল রব বিসরি নিখিলে চিত হরিষা ঘন গোরবি আসিছি ম বড় সা বন্ধুরা কবিগুরু রবীন্দ্রনাথের বর্ষামঙ্গল কবিতা ছোয়া লাগা বর্ষাখাল আমাদের মাঝে উপস্থিত হয়েছে আজ বর্ষা ঋতু আষাঢ় মাসের প্রথম দ"&amp;"িন পহেলা আসার আমাদের দেশে শুরু হলো বর্ষা")</f>
        <v>গৌরবিঘ নবযৌগনা বরষা সমগ্রম ভীর সরসা গুরুগর্জনে নিল অরণ্য শিহরী কুতুলা কলাপি কেকাকল রব বিসরি নিখিলে চিত হরিষা ঘন গোরবি আসিছি ম বড় সা বন্ধুরা কবিগুরু রবীন্দ্রনাথের বর্ষামঙ্গল কবিতা ছোয়া লাগা বর্ষাখাল আমাদের মাঝে উপস্থিত হয়েছে আজ বর্ষা ঋতু আষাঢ় মাসের প্রথম দিন পহেলা আসার আমাদের দেশে শুরু হলো বর্ষা</v>
      </c>
      <c r="D82" s="2" t="str">
        <f>IFERROR(__xludf.DUMMYFUNCTION("""COMPUTED_VALUE"""),"Yes")</f>
        <v>Yes</v>
      </c>
      <c r="E82" s="2" t="str">
        <f>IFERROR(__xludf.DUMMYFUNCTION("""COMPUTED_VALUE"""),"Yes")</f>
        <v>Yes</v>
      </c>
      <c r="F82" s="2" t="str">
        <f>IFERROR(__xludf.DUMMYFUNCTION("""COMPUTED_VALUE"""),"Yes")</f>
        <v>Yes</v>
      </c>
      <c r="G82" s="2">
        <f>IFERROR(__xludf.DUMMYFUNCTION("""COMPUTED_VALUE"""),0.5)</f>
        <v>0.5</v>
      </c>
      <c r="H82" s="2">
        <f>IFERROR(__xludf.DUMMYFUNCTION("""COMPUTED_VALUE"""),1.0)</f>
        <v>1</v>
      </c>
      <c r="I82" s="2">
        <f>IFERROR(__xludf.DUMMYFUNCTION("""COMPUTED_VALUE"""),1.0)</f>
        <v>1</v>
      </c>
      <c r="J82" s="2">
        <f>IFERROR(__xludf.DUMMYFUNCTION("""COMPUTED_VALUE"""),1.0)</f>
        <v>1</v>
      </c>
      <c r="K82" s="2" t="str">
        <f>IFERROR(__xludf.DUMMYFUNCTION("""COMPUTED_VALUE"""),"5 – High-quality, Clean Bangla speech")</f>
        <v>5 – High-quality, Clean Bangla speech</v>
      </c>
      <c r="L82" s="2" t="str">
        <f>IFERROR(__xludf.DUMMYFUNCTION("""COMPUTED_VALUE"""),"No")</f>
        <v>No</v>
      </c>
    </row>
    <row r="83">
      <c r="A83" s="2" t="str">
        <f>IFERROR(__xludf.DUMMYFUNCTION("""COMPUTED_VALUE"""),"\collect\read\YouTube\TORONGO\_dUQ4QvI2nc\2e71eae6-22aa-457a-b482-f6d2c8409fda.flac")</f>
        <v>\collect\read\YouTube\TORONGO\_dUQ4QvI2nc\2e71eae6-22aa-457a-b482-f6d2c8409fda.flac</v>
      </c>
      <c r="B83" s="2">
        <f>IFERROR(__xludf.DUMMYFUNCTION("""COMPUTED_VALUE"""),30.0)</f>
        <v>30</v>
      </c>
      <c r="C83" s="2" t="str">
        <f>IFERROR(__xludf.DUMMYFUNCTION("""COMPUTED_VALUE"""),"পাঁচিশ থেকে সেখানে পাঠান চাঁদনী নামে এক বড় নৌকায় তিনি দলবল সহ বুড়িগঙ্গা নদীর তীরে নামেন সেই স্থানটি পরে ইসলামপুর নামে পরিচিতি লাভ করে আর যেখানে চাঁদনি রাখা হতো সেখানকার নামকরণ হয় চাঁদনীঘাট এখনো চাঁদনি ঘাট রয়ে গেছে আর অতীতের সেই প্রমোদতরীর আদলে তৈরি করা হয়"&amp;"েছে নৌকা যা সব চেয়ে কম টাকার সুলভ হোটেল হিসেবে ব্যবহৃত হচ্ছে এটিও এখন ঢাকা")</f>
        <v>পাঁচিশ থেকে সেখানে পাঠান চাঁদনী নামে এক বড় নৌকায় তিনি দলবল সহ বুড়িগঙ্গা নদীর তীরে নামেন সেই স্থানটি পরে ইসলামপুর নামে পরিচিতি লাভ করে আর যেখানে চাঁদনি রাখা হতো সেখানকার নামকরণ হয় চাঁদনীঘাট এখনো চাঁদনি ঘাট রয়ে গেছে আর অতীতের সেই প্রমোদতরীর আদলে তৈরি করা হয়েছে নৌকা যা সব চেয়ে কম টাকার সুলভ হোটেল হিসেবে ব্যবহৃত হচ্ছে এটিও এখন ঢাকা</v>
      </c>
      <c r="D83" s="2" t="str">
        <f>IFERROR(__xludf.DUMMYFUNCTION("""COMPUTED_VALUE"""),"Yes")</f>
        <v>Yes</v>
      </c>
      <c r="E83" s="2" t="str">
        <f>IFERROR(__xludf.DUMMYFUNCTION("""COMPUTED_VALUE"""),"No")</f>
        <v>No</v>
      </c>
      <c r="F83" s="2" t="str">
        <f>IFERROR(__xludf.DUMMYFUNCTION("""COMPUTED_VALUE"""),"No")</f>
        <v>No</v>
      </c>
      <c r="G83" s="2">
        <f>IFERROR(__xludf.DUMMYFUNCTION("""COMPUTED_VALUE"""),1.0)</f>
        <v>1</v>
      </c>
      <c r="H83" s="2">
        <f>IFERROR(__xludf.DUMMYFUNCTION("""COMPUTED_VALUE"""),1.0)</f>
        <v>1</v>
      </c>
      <c r="I83" s="2">
        <f>IFERROR(__xludf.DUMMYFUNCTION("""COMPUTED_VALUE"""),1.0)</f>
        <v>1</v>
      </c>
      <c r="J83" s="2">
        <f>IFERROR(__xludf.DUMMYFUNCTION("""COMPUTED_VALUE"""),1.0)</f>
        <v>1</v>
      </c>
      <c r="K83" s="2" t="str">
        <f>IFERROR(__xludf.DUMMYFUNCTION("""COMPUTED_VALUE"""),"5 – High-quality, Clean Bangla speech")</f>
        <v>5 – High-quality, Clean Bangla speech</v>
      </c>
      <c r="L83" s="2" t="str">
        <f>IFERROR(__xludf.DUMMYFUNCTION("""COMPUTED_VALUE"""),"No")</f>
        <v>No</v>
      </c>
    </row>
    <row r="84">
      <c r="A84" s="2" t="str">
        <f>IFERROR(__xludf.DUMMYFUNCTION("""COMPUTED_VALUE"""),"\collect\read\YouTube\TORONGO\_dUQ4QvI2nc\3795ff06-e1b0-4036-bc9e-ccb614dcc5f5.flac")</f>
        <v>\collect\read\YouTube\TORONGO\_dUQ4QvI2nc\3795ff06-e1b0-4036-bc9e-ccb614dcc5f5.flac</v>
      </c>
      <c r="B84" s="2">
        <f>IFERROR(__xludf.DUMMYFUNCTION("""COMPUTED_VALUE"""),30.0)</f>
        <v>30</v>
      </c>
      <c r="C84" s="2" t="str">
        <f>IFERROR(__xludf.DUMMYFUNCTION("""COMPUTED_VALUE"""),"ব্যবস্থা ব্যবসা বাণিজ্য ও জীবন মানের যে বৈপ্লবিক উন্নয়ন করতে যাচ্ছি তারই জন্য ইতিহাসের পাতায় অবিস্মরণীয় হয়ে থাকবেন তিনি পদ্মা সেতুকে ঘিরে ইতিমধ্যেই হাসি ফুটেছে দেশের দক্ষিণ অঞ্চলের একুশ জেলার প্রায় চার কোটি মানুষ গান স্বপ্ন দেখছেন সোনালী ভবিষ্যতের সেতুটি "&amp;"চালু হলে তা শুধু এই অঞ্চলের জনগণের জীবনমানকে এগিয়ে নেবে তা নয় বরং এটা প্রত্যক্ষ পরোক্ষভাবে পুরো বাংলাদেশের মানুষের জীবনকেই এগিয়ে নেবে পুরো দেশের অর্থনীতিকে এগিয়ে নেওয়ার ক্ষেত্রে")</f>
        <v>ব্যবস্থা ব্যবসা বাণিজ্য ও জীবন মানের যে বৈপ্লবিক উন্নয়ন করতে যাচ্ছি তারই জন্য ইতিহাসের পাতায় অবিস্মরণীয় হয়ে থাকবেন তিনি পদ্মা সেতুকে ঘিরে ইতিমধ্যেই হাসি ফুটেছে দেশের দক্ষিণ অঞ্চলের একুশ জেলার প্রায় চার কোটি মানুষ গান স্বপ্ন দেখছেন সোনালী ভবিষ্যতের সেতুটি চালু হলে তা শুধু এই অঞ্চলের জনগণের জীবনমানকে এগিয়ে নেবে তা নয় বরং এটা প্রত্যক্ষ পরোক্ষভাবে পুরো বাংলাদেশের মানুষের জীবনকেই এগিয়ে নেবে পুরো দেশের অর্থনীতিকে এগিয়ে নেওয়ার ক্ষেত্রে</v>
      </c>
      <c r="D84" s="2" t="str">
        <f>IFERROR(__xludf.DUMMYFUNCTION("""COMPUTED_VALUE"""),"Yes")</f>
        <v>Yes</v>
      </c>
      <c r="E84" s="2" t="str">
        <f>IFERROR(__xludf.DUMMYFUNCTION("""COMPUTED_VALUE"""),"No")</f>
        <v>No</v>
      </c>
      <c r="F84" s="2" t="str">
        <f>IFERROR(__xludf.DUMMYFUNCTION("""COMPUTED_VALUE"""),"No")</f>
        <v>No</v>
      </c>
      <c r="G84" s="2">
        <f>IFERROR(__xludf.DUMMYFUNCTION("""COMPUTED_VALUE"""),1.0)</f>
        <v>1</v>
      </c>
      <c r="H84" s="2">
        <f>IFERROR(__xludf.DUMMYFUNCTION("""COMPUTED_VALUE"""),1.0)</f>
        <v>1</v>
      </c>
      <c r="I84" s="2">
        <f>IFERROR(__xludf.DUMMYFUNCTION("""COMPUTED_VALUE"""),1.0)</f>
        <v>1</v>
      </c>
      <c r="J84" s="2">
        <f>IFERROR(__xludf.DUMMYFUNCTION("""COMPUTED_VALUE"""),1.0)</f>
        <v>1</v>
      </c>
      <c r="K84" s="2" t="str">
        <f>IFERROR(__xludf.DUMMYFUNCTION("""COMPUTED_VALUE"""),"5 – High-quality, Clean Bangla speech")</f>
        <v>5 – High-quality, Clean Bangla speech</v>
      </c>
      <c r="L84" s="2" t="str">
        <f>IFERROR(__xludf.DUMMYFUNCTION("""COMPUTED_VALUE"""),"No")</f>
        <v>No</v>
      </c>
    </row>
    <row r="85">
      <c r="A85" s="2" t="str">
        <f>IFERROR(__xludf.DUMMYFUNCTION("""COMPUTED_VALUE"""),"\collect\read\YouTube\TORONGO\_dUQ4QvI2nc\38e5a744-2b7c-4d40-bb4a-198d02ab1535.flac")</f>
        <v>\collect\read\YouTube\TORONGO\_dUQ4QvI2nc\38e5a744-2b7c-4d40-bb4a-198d02ab1535.flac</v>
      </c>
      <c r="B85" s="2">
        <f>IFERROR(__xludf.DUMMYFUNCTION("""COMPUTED_VALUE"""),30.0)</f>
        <v>30</v>
      </c>
      <c r="C85" s="2" t="str">
        <f>IFERROR(__xludf.DUMMYFUNCTION("""COMPUTED_VALUE"""),"খুলনা যশোর ফরিদপুর রাজবাড়ী এবং উত্তরাঞ্চলে রাজশাহী পাবনা বগুড়া গাইবান্ধা রংপুর দিনাজপুরের দিকে অনেকগুলো বাস চলাচল করে থাকে এছাড়া মহাখালী বাস টার্মিনাল থেকে বৃহত্তর ময়মনসিংহ এবং সায়েদাবাদ বাস টার্মিনাল থেকে অনেকগুলো বাস সিলেট চট্টগ্রাম এব কক্সসবাজারে উদ্দে"&amp;"শ্যে ছেড়ে যায় বন্ধুরা আপনারা যেখানে যে মাধ্যমে যাতায়াত করতে চান সাবধানে যাবেন মাস পড়বেন ট্রে নি বাসে আর লঞ্চে অচেনা কোনো মানুষের দেয়া কোনো খাবার খাবেন না আপনাদীর যা যা শুভ হোক শ্রোতে বন্ধুরা আমাদের হাতের সময়")</f>
        <v>খুলনা যশোর ফরিদপুর রাজবাড়ী এবং উত্তরাঞ্চলে রাজশাহী পাবনা বগুড়া গাইবান্ধা রংপুর দিনাজপুরের দিকে অনেকগুলো বাস চলাচল করে থাকে এছাড়া মহাখালী বাস টার্মিনাল থেকে বৃহত্তর ময়মনসিংহ এবং সায়েদাবাদ বাস টার্মিনাল থেকে অনেকগুলো বাস সিলেট চট্টগ্রাম এব কক্সসবাজারে উদ্দেশ্যে ছেড়ে যায় বন্ধুরা আপনারা যেখানে যে মাধ্যমে যাতায়াত করতে চান সাবধানে যাবেন মাস পড়বেন ট্রে নি বাসে আর লঞ্চে অচেনা কোনো মানুষের দেয়া কোনো খাবার খাবেন না আপনাদীর যা যা শুভ হোক শ্রোতে বন্ধুরা আমাদের হাতের সময়</v>
      </c>
      <c r="D85" s="2" t="str">
        <f>IFERROR(__xludf.DUMMYFUNCTION("""COMPUTED_VALUE"""),"Yes")</f>
        <v>Yes</v>
      </c>
      <c r="E85" s="2" t="str">
        <f>IFERROR(__xludf.DUMMYFUNCTION("""COMPUTED_VALUE"""),"No")</f>
        <v>No</v>
      </c>
      <c r="F85" s="2" t="str">
        <f>IFERROR(__xludf.DUMMYFUNCTION("""COMPUTED_VALUE"""),"Yes")</f>
        <v>Yes</v>
      </c>
      <c r="G85" s="2">
        <f>IFERROR(__xludf.DUMMYFUNCTION("""COMPUTED_VALUE"""),0.5)</f>
        <v>0.5</v>
      </c>
      <c r="H85" s="2">
        <f>IFERROR(__xludf.DUMMYFUNCTION("""COMPUTED_VALUE"""),1.0)</f>
        <v>1</v>
      </c>
      <c r="I85" s="2">
        <f>IFERROR(__xludf.DUMMYFUNCTION("""COMPUTED_VALUE"""),0.5)</f>
        <v>0.5</v>
      </c>
      <c r="J85" s="2">
        <f>IFERROR(__xludf.DUMMYFUNCTION("""COMPUTED_VALUE"""),1.0)</f>
        <v>1</v>
      </c>
      <c r="K85" s="2" t="str">
        <f>IFERROR(__xludf.DUMMYFUNCTION("""COMPUTED_VALUE"""),"5 – High-quality, Clean Bangla speech")</f>
        <v>5 – High-quality, Clean Bangla speech</v>
      </c>
      <c r="L85" s="2" t="str">
        <f>IFERROR(__xludf.DUMMYFUNCTION("""COMPUTED_VALUE"""),"No")</f>
        <v>No</v>
      </c>
    </row>
    <row r="86">
      <c r="A86" s="2" t="str">
        <f>IFERROR(__xludf.DUMMYFUNCTION("""COMPUTED_VALUE"""),"\collect\read\YouTube\TORONGO\_dUQ4QvI2nc\3dc5dd84-b241-4063-a60b-e277febf729c.flac")</f>
        <v>\collect\read\YouTube\TORONGO\_dUQ4QvI2nc\3dc5dd84-b241-4063-a60b-e277febf729c.flac</v>
      </c>
      <c r="B86" s="2">
        <f>IFERROR(__xludf.DUMMYFUNCTION("""COMPUTED_VALUE"""),30.0)</f>
        <v>30</v>
      </c>
      <c r="C86" s="2" t="str">
        <f>IFERROR(__xludf.DUMMYFUNCTION("""COMPUTED_VALUE"""),"সুন্দর সুন্দর গান যেনা আমাদেরকে উপহার দিয়ে খায় অবশ্যই আমার খন শ্রোতারা আমার জন্য অবশ্যই যেন দোয়া করবেন যাতে আমি আরও সুন্দর সুন্দর গান উপহার দিতে পারি মৌলিক গান আমরাও প্রত্যাশা করি এটি সুইপ্রিশ্রোতে বন্ধুরা আজ আমরা আজকের আমন্ত্রিত অতিথির সাথে আড্ডায় কথা বল"&amp;"তে বলতে একেবারে শেষ প্রান্তে তাইতো এখন বিদায় নিতে চায় তবে বিদায়ের আগে আমাদের সামনের পর্ব শোনার আমন্ত্রণ রইল শুনলাম প্রিয় মুখীর")</f>
        <v>সুন্দর সুন্দর গান যেনা আমাদেরকে উপহার দিয়ে খায় অবশ্যই আমার খন শ্রোতারা আমার জন্য অবশ্যই যেন দোয়া করবেন যাতে আমি আরও সুন্দর সুন্দর গান উপহার দিতে পারি মৌলিক গান আমরাও প্রত্যাশা করি এটি সুইপ্রিশ্রোতে বন্ধুরা আজ আমরা আজকের আমন্ত্রিত অতিথির সাথে আড্ডায় কথা বলতে বলতে একেবারে শেষ প্রান্তে তাইতো এখন বিদায় নিতে চায় তবে বিদায়ের আগে আমাদের সামনের পর্ব শোনার আমন্ত্রণ রইল শুনলাম প্রিয় মুখীর</v>
      </c>
      <c r="D86" s="2" t="str">
        <f>IFERROR(__xludf.DUMMYFUNCTION("""COMPUTED_VALUE"""),"Yes")</f>
        <v>Yes</v>
      </c>
      <c r="E86" s="2" t="str">
        <f>IFERROR(__xludf.DUMMYFUNCTION("""COMPUTED_VALUE"""),"No")</f>
        <v>No</v>
      </c>
      <c r="F86" s="2" t="str">
        <f>IFERROR(__xludf.DUMMYFUNCTION("""COMPUTED_VALUE"""),"No")</f>
        <v>No</v>
      </c>
      <c r="G86" s="2">
        <f>IFERROR(__xludf.DUMMYFUNCTION("""COMPUTED_VALUE"""),0.5)</f>
        <v>0.5</v>
      </c>
      <c r="H86" s="2">
        <f>IFERROR(__xludf.DUMMYFUNCTION("""COMPUTED_VALUE"""),1.0)</f>
        <v>1</v>
      </c>
      <c r="I86" s="2">
        <f>IFERROR(__xludf.DUMMYFUNCTION("""COMPUTED_VALUE"""),0.5)</f>
        <v>0.5</v>
      </c>
      <c r="J86" s="2">
        <f>IFERROR(__xludf.DUMMYFUNCTION("""COMPUTED_VALUE"""),1.0)</f>
        <v>1</v>
      </c>
      <c r="K86" s="2" t="str">
        <f>IFERROR(__xludf.DUMMYFUNCTION("""COMPUTED_VALUE"""),"5 – High-quality, Clean Bangla speech")</f>
        <v>5 – High-quality, Clean Bangla speech</v>
      </c>
      <c r="L86" s="2" t="str">
        <f>IFERROR(__xludf.DUMMYFUNCTION("""COMPUTED_VALUE"""),"No")</f>
        <v>No</v>
      </c>
    </row>
    <row r="87">
      <c r="A87" s="2" t="str">
        <f>IFERROR(__xludf.DUMMYFUNCTION("""COMPUTED_VALUE"""),"\collect\read\YouTube\TORONGO\_dUQ4QvI2nc\3fb9365b-5710-43d5-bc90-e6d312217418.flac")</f>
        <v>\collect\read\YouTube\TORONGO\_dUQ4QvI2nc\3fb9365b-5710-43d5-bc90-e6d312217418.flac</v>
      </c>
      <c r="B87" s="2">
        <f>IFERROR(__xludf.DUMMYFUNCTION("""COMPUTED_VALUE"""),30.0)</f>
        <v>30</v>
      </c>
      <c r="C87" s="2" t="str">
        <f>IFERROR(__xludf.DUMMYFUNCTION("""COMPUTED_VALUE"""),"এই যে শাবনূরের কণ্ঠে যে লিপসিং করা হয়েছিল সেসময় একেবারে আপনার সেই গায়কীর সাথে পুরোপুরি একেবারে বিশে গিয়েছিল এই গানটিও কিন্তু ছিল আমার একদম টোটালি একটু ডিফারেন্ড গান এন্ড্রু কিশোরের সাথে একটা ভালো বেশ ডুয়েট গান আছে আপনার হ্যা ডুটনি ভাবনা এটাও আনন্দ অশ্রু ছ"&amp;"বির গান গানটি বেশ জনপ্রিয় হয়েেজিএইজি সেই সুন্দর মিষ্টি গানটি আমরা না হয়")</f>
        <v>এই যে শাবনূরের কণ্ঠে যে লিপসিং করা হয়েছিল সেসময় একেবারে আপনার সেই গায়কীর সাথে পুরোপুরি একেবারে বিশে গিয়েছিল এই গানটিও কিন্তু ছিল আমার একদম টোটালি একটু ডিফারেন্ড গান এন্ড্রু কিশোরের সাথে একটা ভালো বেশ ডুয়েট গান আছে আপনার হ্যা ডুটনি ভাবনা এটাও আনন্দ অশ্রু ছবির গান গানটি বেশ জনপ্রিয় হয়েেজিএইজি সেই সুন্দর মিষ্টি গানটি আমরা না হয়</v>
      </c>
      <c r="D87" s="2" t="str">
        <f>IFERROR(__xludf.DUMMYFUNCTION("""COMPUTED_VALUE"""),"Yes")</f>
        <v>Yes</v>
      </c>
      <c r="E87" s="2" t="str">
        <f>IFERROR(__xludf.DUMMYFUNCTION("""COMPUTED_VALUE"""),"No")</f>
        <v>No</v>
      </c>
      <c r="F87" s="2" t="str">
        <f>IFERROR(__xludf.DUMMYFUNCTION("""COMPUTED_VALUE"""),"Yes")</f>
        <v>Yes</v>
      </c>
      <c r="G87" s="2">
        <f>IFERROR(__xludf.DUMMYFUNCTION("""COMPUTED_VALUE"""),0.5)</f>
        <v>0.5</v>
      </c>
      <c r="H87" s="2">
        <f>IFERROR(__xludf.DUMMYFUNCTION("""COMPUTED_VALUE"""),1.0)</f>
        <v>1</v>
      </c>
      <c r="I87" s="2">
        <f>IFERROR(__xludf.DUMMYFUNCTION("""COMPUTED_VALUE"""),0.5)</f>
        <v>0.5</v>
      </c>
      <c r="J87" s="2">
        <f>IFERROR(__xludf.DUMMYFUNCTION("""COMPUTED_VALUE"""),1.0)</f>
        <v>1</v>
      </c>
      <c r="K87" s="2" t="str">
        <f>IFERROR(__xludf.DUMMYFUNCTION("""COMPUTED_VALUE"""),"5 – High-quality, Clean Bangla speech")</f>
        <v>5 – High-quality, Clean Bangla speech</v>
      </c>
      <c r="L87" s="2" t="str">
        <f>IFERROR(__xludf.DUMMYFUNCTION("""COMPUTED_VALUE"""),"No")</f>
        <v>No</v>
      </c>
    </row>
    <row r="88">
      <c r="A88" s="2" t="str">
        <f>IFERROR(__xludf.DUMMYFUNCTION("""COMPUTED_VALUE"""),"\collect\read\YouTube\TORONGO\_dUQ4QvI2nc\42ccfc2b-3928-4ef7-9647-43326c3dcde2.flac")</f>
        <v>\collect\read\YouTube\TORONGO\_dUQ4QvI2nc\42ccfc2b-3928-4ef7-9647-43326c3dcde2.flac</v>
      </c>
      <c r="B88" s="2">
        <f>IFERROR(__xludf.DUMMYFUNCTION("""COMPUTED_VALUE"""),30.0)</f>
        <v>30</v>
      </c>
      <c r="C88" s="2" t="str">
        <f>IFERROR(__xludf.DUMMYFUNCTION("""COMPUTED_VALUE"""),"ঐতিহ্য ভাড়া অল্প হলেও এসব হোটেলের অতিথিরা নীহায়িত কম সুবিধা পান না শীতের মধ্যে লে কম্বল তসু বালিশ বিশুদ্ধ পানি মোবাইল চার্জারসহ সব ধরনের বৈদ্যুতিক সুবিধার ব্যবস্থা আছে এখানে ঘরগুলো সকাল ছয়টা থেকে না দুইটা পর্যন্ত খোলা থাকে পুরাতন নৌকা দিয়ে বানানো ফরিদপুর "&amp;"মুসলিম হোটেলের অবস্থান বুড়িগঙ্গায় যতদূর জানা যায় এর যাত্রা শুরু ষাটের দশকে সত্তরের দশকে ভাসমান")</f>
        <v>ঐতিহ্য ভাড়া অল্প হলেও এসব হোটেলের অতিথিরা নীহায়িত কম সুবিধা পান না শীতের মধ্যে লে কম্বল তসু বালিশ বিশুদ্ধ পানি মোবাইল চার্জারসহ সব ধরনের বৈদ্যুতিক সুবিধার ব্যবস্থা আছে এখানে ঘরগুলো সকাল ছয়টা থেকে না দুইটা পর্যন্ত খোলা থাকে পুরাতন নৌকা দিয়ে বানানো ফরিদপুর মুসলিম হোটেলের অবস্থান বুড়িগঙ্গায় যতদূর জানা যায় এর যাত্রা শুরু ষাটের দশকে সত্তরের দশকে ভাসমান</v>
      </c>
      <c r="D88" s="2" t="str">
        <f>IFERROR(__xludf.DUMMYFUNCTION("""COMPUTED_VALUE"""),"Yes")</f>
        <v>Yes</v>
      </c>
      <c r="E88" s="2" t="str">
        <f>IFERROR(__xludf.DUMMYFUNCTION("""COMPUTED_VALUE"""),"Yes")</f>
        <v>Yes</v>
      </c>
      <c r="F88" s="2" t="str">
        <f>IFERROR(__xludf.DUMMYFUNCTION("""COMPUTED_VALUE"""),"Yes")</f>
        <v>Yes</v>
      </c>
      <c r="G88" s="2">
        <f>IFERROR(__xludf.DUMMYFUNCTION("""COMPUTED_VALUE"""),0.5)</f>
        <v>0.5</v>
      </c>
      <c r="H88" s="2">
        <f>IFERROR(__xludf.DUMMYFUNCTION("""COMPUTED_VALUE"""),1.0)</f>
        <v>1</v>
      </c>
      <c r="I88" s="2">
        <f>IFERROR(__xludf.DUMMYFUNCTION("""COMPUTED_VALUE"""),0.5)</f>
        <v>0.5</v>
      </c>
      <c r="J88" s="2">
        <f>IFERROR(__xludf.DUMMYFUNCTION("""COMPUTED_VALUE"""),1.0)</f>
        <v>1</v>
      </c>
      <c r="K88" s="2" t="str">
        <f>IFERROR(__xludf.DUMMYFUNCTION("""COMPUTED_VALUE"""),"5 – High-quality, Clean Bangla speech")</f>
        <v>5 – High-quality, Clean Bangla speech</v>
      </c>
      <c r="L88" s="2" t="str">
        <f>IFERROR(__xludf.DUMMYFUNCTION("""COMPUTED_VALUE"""),"No")</f>
        <v>No</v>
      </c>
    </row>
    <row r="89">
      <c r="A89" s="2" t="str">
        <f>IFERROR(__xludf.DUMMYFUNCTION("""COMPUTED_VALUE"""),"\collect\read\YouTube\TORONGO\_dUQ4QvI2nc\495a4762-ed74-4d2d-9be7-f012cf7af35f.flac")</f>
        <v>\collect\read\YouTube\TORONGO\_dUQ4QvI2nc\495a4762-ed74-4d2d-9be7-f012cf7af35f.flac</v>
      </c>
      <c r="B89" s="2">
        <f>IFERROR(__xludf.DUMMYFUNCTION("""COMPUTED_VALUE"""),30.0)</f>
        <v>30</v>
      </c>
      <c r="C89" s="2" t="str">
        <f>IFERROR(__xludf.DUMMYFUNCTION("""COMPUTED_VALUE"""),"প্রচুর জলবূতী মেঘ নিয়ে মৌসুমি ভারত মহাসাগর বঙ্গোপসাগরের সংযোগ স্থলে আন্দোমন দ্বীপপুঞ্জে প্রবেশ করে ধীরে ধীরে সেই বায়ু বঙ্গোপসাগরে প্রবেশ করি পার্শ্ববর্তী এলাকাসহ বাংলাদেশে ও শ্রীলঙ্কায় মায়ানমারে সব স্থানে প্রচুর বৃষ্টিপাত ঘটায় আর আমরা তাকে বর্ষাকাল বুলে থ"&amp;"াকি তো বন্ধুরা আবহাওয়াবিদেরা যাই বলুক আর বর্ষার জলভরা মেয় আমাদের এই মহানগরী যেদিন আসে আসুক আজ আশারস্ প্রথম দিবস এটাই")</f>
        <v>প্রচুর জলবূতী মেঘ নিয়ে মৌসুমি ভারত মহাসাগর বঙ্গোপসাগরের সংযোগ স্থলে আন্দোমন দ্বীপপুঞ্জে প্রবেশ করে ধীরে ধীরে সেই বায়ু বঙ্গোপসাগরে প্রবেশ করি পার্শ্ববর্তী এলাকাসহ বাংলাদেশে ও শ্রীলঙ্কায় মায়ানমারে সব স্থানে প্রচুর বৃষ্টিপাত ঘটায় আর আমরা তাকে বর্ষাকাল বুলে থাকি তো বন্ধুরা আবহাওয়াবিদেরা যাই বলুক আর বর্ষার জলভরা মেয় আমাদের এই মহানগরী যেদিন আসে আসুক আজ আশারস্ প্রথম দিবস এটাই</v>
      </c>
      <c r="D89" s="2" t="str">
        <f>IFERROR(__xludf.DUMMYFUNCTION("""COMPUTED_VALUE"""),"Yes")</f>
        <v>Yes</v>
      </c>
      <c r="E89" s="2" t="str">
        <f>IFERROR(__xludf.DUMMYFUNCTION("""COMPUTED_VALUE"""),"No")</f>
        <v>No</v>
      </c>
      <c r="F89" s="2" t="str">
        <f>IFERROR(__xludf.DUMMYFUNCTION("""COMPUTED_VALUE"""),"Yes")</f>
        <v>Yes</v>
      </c>
      <c r="G89" s="2">
        <f>IFERROR(__xludf.DUMMYFUNCTION("""COMPUTED_VALUE"""),0.5)</f>
        <v>0.5</v>
      </c>
      <c r="H89" s="2">
        <f>IFERROR(__xludf.DUMMYFUNCTION("""COMPUTED_VALUE"""),1.0)</f>
        <v>1</v>
      </c>
      <c r="I89" s="2">
        <f>IFERROR(__xludf.DUMMYFUNCTION("""COMPUTED_VALUE"""),0.5)</f>
        <v>0.5</v>
      </c>
      <c r="J89" s="2">
        <f>IFERROR(__xludf.DUMMYFUNCTION("""COMPUTED_VALUE"""),1.0)</f>
        <v>1</v>
      </c>
      <c r="K89" s="2" t="str">
        <f>IFERROR(__xludf.DUMMYFUNCTION("""COMPUTED_VALUE"""),"5 – High-quality, Clean Bangla speech")</f>
        <v>5 – High-quality, Clean Bangla speech</v>
      </c>
      <c r="L89" s="2" t="str">
        <f>IFERROR(__xludf.DUMMYFUNCTION("""COMPUTED_VALUE"""),"No")</f>
        <v>No</v>
      </c>
    </row>
    <row r="90">
      <c r="A90" s="2" t="str">
        <f>IFERROR(__xludf.DUMMYFUNCTION("""COMPUTED_VALUE"""),"\collect\read\YouTube\TORONGO\_dUQ4QvI2nc\4ba711fe-6f0f-44fe-b1db-3fa2c398731e.flac")</f>
        <v>\collect\read\YouTube\TORONGO\_dUQ4QvI2nc\4ba711fe-6f0f-44fe-b1db-3fa2c398731e.flac</v>
      </c>
      <c r="B90" s="2">
        <f>IFERROR(__xludf.DUMMYFUNCTION("""COMPUTED_VALUE"""),30.0)</f>
        <v>30</v>
      </c>
      <c r="C90" s="2" t="str">
        <f>IFERROR(__xludf.DUMMYFUNCTION("""COMPUTED_VALUE"""),"মোহাম্মদ হানিফ এরপর আমি শিখেছি আবদুস সামাদের কাছে তারপর আমি শিখেছি হিন্দু সঙ্গীত একাডেমিতে পাঁচ বছরের কোর্স করেছি কিশোরী ওখানে উচ্চাঙ্গসঙগীতে ছিলেন ওস্তাদ আখতা সাদমানি হইবং আরেকজন ছিলেন ওস্তাদ জাকির হোসেন উনার কাছেও আমি উচ্চাঙ্গ সংগীত শিখেছি ইচ্চাঙ্গ সঙগী"&amp;"তের উপর কোর্সটি করলেন পাঁচ বছর এর পাশাপাশি আমি নজরুল সং্গীত শিখেছি খালিদ হোসেনের কাছে এরপরে আর কি")</f>
        <v>মোহাম্মদ হানিফ এরপর আমি শিখেছি আবদুস সামাদের কাছে তারপর আমি শিখেছি হিন্দু সঙ্গীত একাডেমিতে পাঁচ বছরের কোর্স করেছি কিশোরী ওখানে উচ্চাঙ্গসঙগীতে ছিলেন ওস্তাদ আখতা সাদমানি হইবং আরেকজন ছিলেন ওস্তাদ জাকির হোসেন উনার কাছেও আমি উচ্চাঙ্গ সংগীত শিখেছি ইচ্চাঙ্গ সঙগীতের উপর কোর্সটি করলেন পাঁচ বছর এর পাশাপাশি আমি নজরুল সং্গীত শিখেছি খালিদ হোসেনের কাছে এরপরে আর কি</v>
      </c>
      <c r="D90" s="2" t="str">
        <f>IFERROR(__xludf.DUMMYFUNCTION("""COMPUTED_VALUE"""),"Yes")</f>
        <v>Yes</v>
      </c>
      <c r="E90" s="2" t="str">
        <f>IFERROR(__xludf.DUMMYFUNCTION("""COMPUTED_VALUE"""),"No")</f>
        <v>No</v>
      </c>
      <c r="F90" s="2" t="str">
        <f>IFERROR(__xludf.DUMMYFUNCTION("""COMPUTED_VALUE"""),"Yes")</f>
        <v>Yes</v>
      </c>
      <c r="G90" s="2">
        <f>IFERROR(__xludf.DUMMYFUNCTION("""COMPUTED_VALUE"""),0.5)</f>
        <v>0.5</v>
      </c>
      <c r="H90" s="2">
        <f>IFERROR(__xludf.DUMMYFUNCTION("""COMPUTED_VALUE"""),1.0)</f>
        <v>1</v>
      </c>
      <c r="I90" s="2">
        <f>IFERROR(__xludf.DUMMYFUNCTION("""COMPUTED_VALUE"""),0.5)</f>
        <v>0.5</v>
      </c>
      <c r="J90" s="2">
        <f>IFERROR(__xludf.DUMMYFUNCTION("""COMPUTED_VALUE"""),1.0)</f>
        <v>1</v>
      </c>
      <c r="K90" s="2" t="str">
        <f>IFERROR(__xludf.DUMMYFUNCTION("""COMPUTED_VALUE"""),"5 – High-quality, Clean Bangla speech")</f>
        <v>5 – High-quality, Clean Bangla speech</v>
      </c>
      <c r="L90" s="2" t="str">
        <f>IFERROR(__xludf.DUMMYFUNCTION("""COMPUTED_VALUE"""),"No")</f>
        <v>No</v>
      </c>
    </row>
    <row r="91">
      <c r="A91" s="2" t="str">
        <f>IFERROR(__xludf.DUMMYFUNCTION("""COMPUTED_VALUE"""),"\collect\read\YouTube\TORONGO\_dUQ4QvI2nc\4bdebc63-59ea-4c46-8e3a-fb40e5879824.flac")</f>
        <v>\collect\read\YouTube\TORONGO\_dUQ4QvI2nc\4bdebc63-59ea-4c46-8e3a-fb40e5879824.flac</v>
      </c>
      <c r="B91" s="2">
        <f>IFERROR(__xludf.DUMMYFUNCTION("""COMPUTED_VALUE"""),30.0)</f>
        <v>30</v>
      </c>
      <c r="C91" s="2" t="str">
        <f>IFERROR(__xludf.DUMMYFUNCTION("""COMPUTED_VALUE"""),"সাবেক প্রধান প্রয়াত অধ্যাপক ডক্টর জামিলুর রেজা চৌধুরী সংবাদমাধ্যমকে অনেক আগে দ এক সাক্ষাৎকারে বলেছিলেন গঙ্গা ও ব্রহ্মপুত্রে মিলিত স্রোত পদ্মায় প্রবাহিত হয়ে বঙ্গোপসাগরে যাচ্ছে সেতুর নিচে ভরা মৌসুমে এক লোক একচল্লিশ হাজার ঘনমিটার পানি প্রতি সেকেন্ডে প্রবাহিত"&amp;" হয় আর এই প্রবাহ যাতে ক্ষতিগ্রস্ত না হয় সেটাই ছিল প্রকল্পের গুরুত্বপূর্ণ চ্যালেঞ্জ কারণ এত পানির প্রবাহ দক্ষিণ আমেরিকার আমাজন নদীর পর বিশ্বে")</f>
        <v>সাবেক প্রধান প্রয়াত অধ্যাপক ডক্টর জামিলুর রেজা চৌধুরী সংবাদমাধ্যমকে অনেক আগে দ এক সাক্ষাৎকারে বলেছিলেন গঙ্গা ও ব্রহ্মপুত্রে মিলিত স্রোত পদ্মায় প্রবাহিত হয়ে বঙ্গোপসাগরে যাচ্ছে সেতুর নিচে ভরা মৌসুমে এক লোক একচল্লিশ হাজার ঘনমিটার পানি প্রতি সেকেন্ডে প্রবাহিত হয় আর এই প্রবাহ যাতে ক্ষতিগ্রস্ত না হয় সেটাই ছিল প্রকল্পের গুরুত্বপূর্ণ চ্যালেঞ্জ কারণ এত পানির প্রবাহ দক্ষিণ আমেরিকার আমাজন নদীর পর বিশ্বে</v>
      </c>
      <c r="D91" s="2" t="str">
        <f>IFERROR(__xludf.DUMMYFUNCTION("""COMPUTED_VALUE"""),"Yes")</f>
        <v>Yes</v>
      </c>
      <c r="E91" s="2" t="str">
        <f>IFERROR(__xludf.DUMMYFUNCTION("""COMPUTED_VALUE"""),"No")</f>
        <v>No</v>
      </c>
      <c r="F91" s="2" t="str">
        <f>IFERROR(__xludf.DUMMYFUNCTION("""COMPUTED_VALUE"""),"No")</f>
        <v>No</v>
      </c>
      <c r="G91" s="2">
        <f>IFERROR(__xludf.DUMMYFUNCTION("""COMPUTED_VALUE"""),0.5)</f>
        <v>0.5</v>
      </c>
      <c r="H91" s="2">
        <f>IFERROR(__xludf.DUMMYFUNCTION("""COMPUTED_VALUE"""),1.0)</f>
        <v>1</v>
      </c>
      <c r="I91" s="2">
        <f>IFERROR(__xludf.DUMMYFUNCTION("""COMPUTED_VALUE"""),1.0)</f>
        <v>1</v>
      </c>
      <c r="J91" s="2">
        <f>IFERROR(__xludf.DUMMYFUNCTION("""COMPUTED_VALUE"""),1.0)</f>
        <v>1</v>
      </c>
      <c r="K91" s="2" t="str">
        <f>IFERROR(__xludf.DUMMYFUNCTION("""COMPUTED_VALUE"""),"5 – High-quality, Clean Bangla speech")</f>
        <v>5 – High-quality, Clean Bangla speech</v>
      </c>
      <c r="L91" s="2" t="str">
        <f>IFERROR(__xludf.DUMMYFUNCTION("""COMPUTED_VALUE"""),"No")</f>
        <v>No</v>
      </c>
    </row>
    <row r="92">
      <c r="A92" s="2" t="str">
        <f>IFERROR(__xludf.DUMMYFUNCTION("""COMPUTED_VALUE"""),"\collect\read\YouTube\TORONGO\_dUQ4QvI2nc\5ba1b801-1be2-4067-9147-e88139dca654.flac")</f>
        <v>\collect\read\YouTube\TORONGO\_dUQ4QvI2nc\5ba1b801-1be2-4067-9147-e88139dca654.flac</v>
      </c>
      <c r="B92" s="2">
        <f>IFERROR(__xludf.DUMMYFUNCTION("""COMPUTED_VALUE"""),30.0)</f>
        <v>30</v>
      </c>
      <c r="C92" s="2" t="str">
        <f>IFERROR(__xludf.DUMMYFUNCTION("""COMPUTED_VALUE"""),"উচু ভবনের ছাদ কিংবা কয়েক ফুটের বারান্দা দিয়ে বৃষ্টির ছাঁটে স্পর্শই নাগরিক জীবনে বর্ষার শীত হলো আমেজটা উপলব্ধির একমাত্র জায়গা কর্মব্যস্ত নগর জীবনে বৃষ্টি যেন জলাবদ্ধতার ভয় এবং ছুর ঝামেলারও বটি হ্যাঁ বন্ধুরা আজ ঢাকা মহানগরীর অনেক প্রতিষ্ঠান বর্ষাবরণ করবে আষ"&amp;"াঢ় মাসকে নানা অনুষ্ঠানেই বরণ করে নেবে তারা আমরাও বাংলায় বর্ষার আগমনে দিন কে স্বাগত জানি এবার বর্ষাহ ভরসা")</f>
        <v>উচু ভবনের ছাদ কিংবা কয়েক ফুটের বারান্দা দিয়ে বৃষ্টির ছাঁটে স্পর্শই নাগরিক জীবনে বর্ষার শীত হলো আমেজটা উপলব্ধির একমাত্র জায়গা কর্মব্যস্ত নগর জীবনে বৃষ্টি যেন জলাবদ্ধতার ভয় এবং ছুর ঝামেলারও বটি হ্যাঁ বন্ধুরা আজ ঢাকা মহানগরীর অনেক প্রতিষ্ঠান বর্ষাবরণ করবে আষাঢ় মাসকে নানা অনুষ্ঠানেই বরণ করে নেবে তারা আমরাও বাংলায় বর্ষার আগমনে দিন কে স্বাগত জানি এবার বর্ষাহ ভরসা</v>
      </c>
      <c r="D92" s="2" t="str">
        <f>IFERROR(__xludf.DUMMYFUNCTION("""COMPUTED_VALUE"""),"Yes")</f>
        <v>Yes</v>
      </c>
      <c r="E92" s="2" t="str">
        <f>IFERROR(__xludf.DUMMYFUNCTION("""COMPUTED_VALUE"""),"No")</f>
        <v>No</v>
      </c>
      <c r="F92" s="2" t="str">
        <f>IFERROR(__xludf.DUMMYFUNCTION("""COMPUTED_VALUE"""),"No")</f>
        <v>No</v>
      </c>
      <c r="G92" s="2">
        <f>IFERROR(__xludf.DUMMYFUNCTION("""COMPUTED_VALUE"""),1.0)</f>
        <v>1</v>
      </c>
      <c r="H92" s="2">
        <f>IFERROR(__xludf.DUMMYFUNCTION("""COMPUTED_VALUE"""),1.0)</f>
        <v>1</v>
      </c>
      <c r="I92" s="2">
        <f>IFERROR(__xludf.DUMMYFUNCTION("""COMPUTED_VALUE"""),0.5)</f>
        <v>0.5</v>
      </c>
      <c r="J92" s="2">
        <f>IFERROR(__xludf.DUMMYFUNCTION("""COMPUTED_VALUE"""),1.0)</f>
        <v>1</v>
      </c>
      <c r="K92" s="2" t="str">
        <f>IFERROR(__xludf.DUMMYFUNCTION("""COMPUTED_VALUE"""),"5 – High-quality, Clean Bangla speech")</f>
        <v>5 – High-quality, Clean Bangla speech</v>
      </c>
      <c r="L92" s="2" t="str">
        <f>IFERROR(__xludf.DUMMYFUNCTION("""COMPUTED_VALUE"""),"No")</f>
        <v>No</v>
      </c>
    </row>
    <row r="93">
      <c r="A93" s="2" t="str">
        <f>IFERROR(__xludf.DUMMYFUNCTION("""COMPUTED_VALUE"""),"\collect\read\YouTube\TORONGO\_dUQ4QvI2nc\6002153e-7ae3-43c1-ba0e-357cf2fc6dc5.flac")</f>
        <v>\collect\read\YouTube\TORONGO\_dUQ4QvI2nc\6002153e-7ae3-43c1-ba0e-357cf2fc6dc5.flac</v>
      </c>
      <c r="B93" s="2">
        <f>IFERROR(__xludf.DUMMYFUNCTION("""COMPUTED_VALUE"""),30.0)</f>
        <v>30</v>
      </c>
      <c r="C93" s="2" t="str">
        <f>IFERROR(__xludf.DUMMYFUNCTION("""COMPUTED_VALUE"""),"হায়ামুই কারও আথিক ঘরে উপরিচ য় শুনলাম বৃষ্টির গন্ধ মাখা তান সাবিনা ইয়াসমিনের কণ্ঠে আর গানটি লিখেছেন হুমায়ুন আহমেদ শ্রোতা বন্ধুরা এখন রয়েছে আপনাদের জন্য একটি প্রয়োজনীয় পর্ব শুভজাত আমাদের দেশে সর্ববৃহৎ বাস টার্মিনাল গাবতলী থেকে প্রতিদিন আমা দশের দক্ষিণাঞ্চল "&amp;"দক্ষিণ পশ্চিমাঞ্চলের দিকে বিশেষ করে কুষ্টিয়া")</f>
        <v>হায়ামুই কারও আথিক ঘরে উপরিচ য় শুনলাম বৃষ্টির গন্ধ মাখা তান সাবিনা ইয়াসমিনের কণ্ঠে আর গানটি লিখেছেন হুমায়ুন আহমেদ শ্রোতা বন্ধুরা এখন রয়েছে আপনাদের জন্য একটি প্রয়োজনীয় পর্ব শুভজাত আমাদের দেশে সর্ববৃহৎ বাস টার্মিনাল গাবতলী থেকে প্রতিদিন আমা দশের দক্ষিণাঞ্চল দক্ষিণ পশ্চিমাঞ্চলের দিকে বিশেষ করে কুষ্টিয়া</v>
      </c>
      <c r="D93" s="2" t="str">
        <f>IFERROR(__xludf.DUMMYFUNCTION("""COMPUTED_VALUE"""),"Yes")</f>
        <v>Yes</v>
      </c>
      <c r="E93" s="2" t="str">
        <f>IFERROR(__xludf.DUMMYFUNCTION("""COMPUTED_VALUE"""),"No")</f>
        <v>No</v>
      </c>
      <c r="F93" s="2" t="str">
        <f>IFERROR(__xludf.DUMMYFUNCTION("""COMPUTED_VALUE"""),"Yes")</f>
        <v>Yes</v>
      </c>
      <c r="G93" s="2">
        <f>IFERROR(__xludf.DUMMYFUNCTION("""COMPUTED_VALUE"""),0.5)</f>
        <v>0.5</v>
      </c>
      <c r="H93" s="2">
        <f>IFERROR(__xludf.DUMMYFUNCTION("""COMPUTED_VALUE"""),1.0)</f>
        <v>1</v>
      </c>
      <c r="I93" s="2">
        <f>IFERROR(__xludf.DUMMYFUNCTION("""COMPUTED_VALUE"""),0.5)</f>
        <v>0.5</v>
      </c>
      <c r="J93" s="2">
        <f>IFERROR(__xludf.DUMMYFUNCTION("""COMPUTED_VALUE"""),1.0)</f>
        <v>1</v>
      </c>
      <c r="K93" s="2" t="str">
        <f>IFERROR(__xludf.DUMMYFUNCTION("""COMPUTED_VALUE"""),"5 – High-quality, Clean Bangla speech")</f>
        <v>5 – High-quality, Clean Bangla speech</v>
      </c>
      <c r="L93" s="2" t="str">
        <f>IFERROR(__xludf.DUMMYFUNCTION("""COMPUTED_VALUE"""),"No")</f>
        <v>No</v>
      </c>
    </row>
    <row r="94">
      <c r="A94" s="2" t="str">
        <f>IFERROR(__xludf.DUMMYFUNCTION("""COMPUTED_VALUE"""),"\collect\read\YouTube\TORONGO\_dUQ4QvI2nc\673aa77e-6590-4d7b-805d-131282654188.flac")</f>
        <v>\collect\read\YouTube\TORONGO\_dUQ4QvI2nc\673aa77e-6590-4d7b-805d-131282654188.flac</v>
      </c>
      <c r="B94" s="2">
        <f>IFERROR(__xludf.DUMMYFUNCTION("""COMPUTED_VALUE"""),30.0)</f>
        <v>30</v>
      </c>
      <c r="C94" s="2" t="str">
        <f>IFERROR(__xludf.DUMMYFUNCTION("""COMPUTED_VALUE"""),"ট যাও হচছে হ্যাঁ আমি অনিক প্রতিযোগিতায় অংশগ্রহণ করেছি প্রথম প্রথমত একটু নার্ভাস ছিলামি তারপরে জিনিসটা মানে খুব ভালো লাগতো যেটা একটা মানে খুব একটা আনন্দের এবং পরিস্কৃত হওয়া তারপরেই যে এটেন্ট করা প্রতিযোগিতায় তো অনেকজন এটেন করে তো সেটা একটা ভেতরে কাজ করত যে"&amp;" না আমিও আমিও গাইবো হ্যাঁ ভালো করব সবার থেকে বেশি ভালো করব এটা সবসময় টাজ করতো পুরস্কার হাতে যখন")</f>
        <v>ট যাও হচছে হ্যাঁ আমি অনিক প্রতিযোগিতায় অংশগ্রহণ করেছি প্রথম প্রথমত একটু নার্ভাস ছিলামি তারপরে জিনিসটা মানে খুব ভালো লাগতো যেটা একটা মানে খুব একটা আনন্দের এবং পরিস্কৃত হওয়া তারপরেই যে এটেন্ট করা প্রতিযোগিতায় তো অনেকজন এটেন করে তো সেটা একটা ভেতরে কাজ করত যে না আমিও আমিও গাইবো হ্যাঁ ভালো করব সবার থেকে বেশি ভালো করব এটা সবসময় টাজ করতো পুরস্কার হাতে যখন</v>
      </c>
      <c r="D94" s="2" t="str">
        <f>IFERROR(__xludf.DUMMYFUNCTION("""COMPUTED_VALUE"""),"Yes")</f>
        <v>Yes</v>
      </c>
      <c r="E94" s="2" t="str">
        <f>IFERROR(__xludf.DUMMYFUNCTION("""COMPUTED_VALUE"""),"No")</f>
        <v>No</v>
      </c>
      <c r="F94" s="2" t="str">
        <f>IFERROR(__xludf.DUMMYFUNCTION("""COMPUTED_VALUE"""),"Yes")</f>
        <v>Yes</v>
      </c>
      <c r="G94" s="2">
        <f>IFERROR(__xludf.DUMMYFUNCTION("""COMPUTED_VALUE"""),0.5)</f>
        <v>0.5</v>
      </c>
      <c r="H94" s="2">
        <f>IFERROR(__xludf.DUMMYFUNCTION("""COMPUTED_VALUE"""),1.0)</f>
        <v>1</v>
      </c>
      <c r="I94" s="2">
        <f>IFERROR(__xludf.DUMMYFUNCTION("""COMPUTED_VALUE"""),0.5)</f>
        <v>0.5</v>
      </c>
      <c r="J94" s="2">
        <f>IFERROR(__xludf.DUMMYFUNCTION("""COMPUTED_VALUE"""),1.0)</f>
        <v>1</v>
      </c>
      <c r="K94" s="2" t="str">
        <f>IFERROR(__xludf.DUMMYFUNCTION("""COMPUTED_VALUE"""),"5 – High-quality, Clean Bangla speech")</f>
        <v>5 – High-quality, Clean Bangla speech</v>
      </c>
      <c r="L94" s="2" t="str">
        <f>IFERROR(__xludf.DUMMYFUNCTION("""COMPUTED_VALUE"""),"Yes")</f>
        <v>Yes</v>
      </c>
    </row>
    <row r="95">
      <c r="A95" s="2" t="str">
        <f>IFERROR(__xludf.DUMMYFUNCTION("""COMPUTED_VALUE"""),"\collect\read\YouTube\TORONGO\_dUQ4QvI2nc\6d3d3f54-2088-481c-945c-cb51fee53b1b.flac")</f>
        <v>\collect\read\YouTube\TORONGO\_dUQ4QvI2nc\6d3d3f54-2088-481c-945c-cb51fee53b1b.flac</v>
      </c>
      <c r="B95" s="2">
        <f>IFERROR(__xludf.DUMMYFUNCTION("""COMPUTED_VALUE"""),30.0)</f>
        <v>30</v>
      </c>
      <c r="C95" s="2" t="str">
        <f>IFERROR(__xludf.DUMMYFUNCTION("""COMPUTED_VALUE"""),"আ্ছা প্রথমে বেতার প্রথমে বেতারসেই জার বেতার থেকে প্রচারিত গান শুনে শুনে অনুপ্রাণিত হয়েছে সংগীতে আসা আসলে বেতার বেতার আমার একা তুমি ঘরের মতো মনে হয় যখন ডাকে মনে হয় যে আমি ছুটে যাই সিআর বাংলাদেশ বেতার এমনই একটা জায়গা এখানে একটা সংস্কৃতির ক্ষেত্র নে রয়েছে কি"&amp;"ন্তু ন বশ্যই হ্া এখানে প্রতিনিয়ত শিল্পী তৈরি হচ্ছে সুধু সঙ্গীত শিল্পী নয়")</f>
        <v>আ্ছা প্রথমে বেতার প্রথমে বেতারসেই জার বেতার থেকে প্রচারিত গান শুনে শুনে অনুপ্রাণিত হয়েছে সংগীতে আসা আসলে বেতার বেতার আমার একা তুমি ঘরের মতো মনে হয় যখন ডাকে মনে হয় যে আমি ছুটে যাই সিআর বাংলাদেশ বেতার এমনই একটা জায়গা এখানে একটা সংস্কৃতির ক্ষেত্র নে রয়েছে কিন্তু ন বশ্যই হ্া এখানে প্রতিনিয়ত শিল্পী তৈরি হচ্ছে সুধু সঙ্গীত শিল্পী নয়</v>
      </c>
      <c r="D95" s="2" t="str">
        <f>IFERROR(__xludf.DUMMYFUNCTION("""COMPUTED_VALUE"""),"Yes")</f>
        <v>Yes</v>
      </c>
      <c r="E95" s="2" t="str">
        <f>IFERROR(__xludf.DUMMYFUNCTION("""COMPUTED_VALUE"""),"No")</f>
        <v>No</v>
      </c>
      <c r="F95" s="2" t="str">
        <f>IFERROR(__xludf.DUMMYFUNCTION("""COMPUTED_VALUE"""),"Yes")</f>
        <v>Yes</v>
      </c>
      <c r="G95" s="2">
        <f>IFERROR(__xludf.DUMMYFUNCTION("""COMPUTED_VALUE"""),0.5)</f>
        <v>0.5</v>
      </c>
      <c r="H95" s="2">
        <f>IFERROR(__xludf.DUMMYFUNCTION("""COMPUTED_VALUE"""),1.0)</f>
        <v>1</v>
      </c>
      <c r="I95" s="2">
        <f>IFERROR(__xludf.DUMMYFUNCTION("""COMPUTED_VALUE"""),1.0)</f>
        <v>1</v>
      </c>
      <c r="J95" s="2">
        <f>IFERROR(__xludf.DUMMYFUNCTION("""COMPUTED_VALUE"""),1.0)</f>
        <v>1</v>
      </c>
      <c r="K95" s="2" t="str">
        <f>IFERROR(__xludf.DUMMYFUNCTION("""COMPUTED_VALUE"""),"5 – High-quality, Clean Bangla speech")</f>
        <v>5 – High-quality, Clean Bangla speech</v>
      </c>
      <c r="L95" s="2" t="str">
        <f>IFERROR(__xludf.DUMMYFUNCTION("""COMPUTED_VALUE"""),"No")</f>
        <v>No</v>
      </c>
    </row>
    <row r="96">
      <c r="A96" s="2" t="str">
        <f>IFERROR(__xludf.DUMMYFUNCTION("""COMPUTED_VALUE"""),"\collect\read\YouTube\TORONGO\_dUQ4QvI2nc\7344d178-0993-498b-be1f-292d4201d38a.flac")</f>
        <v>\collect\read\YouTube\TORONGO\_dUQ4QvI2nc\7344d178-0993-498b-be1f-292d4201d38a.flac</v>
      </c>
      <c r="B96" s="2">
        <f>IFERROR(__xludf.DUMMYFUNCTION("""COMPUTED_VALUE"""),30.0)</f>
        <v>30</v>
      </c>
      <c r="C96" s="2" t="str">
        <f>IFERROR(__xludf.DUMMYFUNCTION("""COMPUTED_VALUE"""),"শুরুর গীতিকার নাট্যকার নাট্যশিল্পী সব মাধ্যমিকার হ্যাঁ সব মাধ্যমে এবং আমাদের দেশের সাংস্কৃতিক অঙ্গনে এযে শিল্পী তৈরির ক্ষেত্রে বাংলাদেশ বেতারের একটা বিরাট অবশ্যই রয়েছে অবশ্যই আপনি তো চলচ্চিত্রে চলচ্চিত্র বেশ কিছু গান করে হ্যা চলচ্চিত্রের আমার যাত্রাটা শুর"&amp;"ু হয়েছে উনিশশ তিরানব্বই থেকে কোন সুবিধা সেটা প্রথম ছবি হচ্ছে দোলা পরিচালক ছিলেন প্রয়াত দিলিপ শো")</f>
        <v>শুরুর গীতিকার নাট্যকার নাট্যশিল্পী সব মাধ্যমিকার হ্যাঁ সব মাধ্যমে এবং আমাদের দেশের সাংস্কৃতিক অঙ্গনে এযে শিল্পী তৈরির ক্ষেত্রে বাংলাদেশ বেতারের একটা বিরাট অবশ্যই রয়েছে অবশ্যই আপনি তো চলচ্চিত্রে চলচ্চিত্র বেশ কিছু গান করে হ্যা চলচ্চিত্রের আমার যাত্রাটা শুরু হয়েছে উনিশশ তিরানব্বই থেকে কোন সুবিধা সেটা প্রথম ছবি হচ্ছে দোলা পরিচালক ছিলেন প্রয়াত দিলিপ শো</v>
      </c>
      <c r="D96" s="2" t="str">
        <f>IFERROR(__xludf.DUMMYFUNCTION("""COMPUTED_VALUE"""),"Yes")</f>
        <v>Yes</v>
      </c>
      <c r="E96" s="2" t="str">
        <f>IFERROR(__xludf.DUMMYFUNCTION("""COMPUTED_VALUE"""),"Yes")</f>
        <v>Yes</v>
      </c>
      <c r="F96" s="2" t="str">
        <f>IFERROR(__xludf.DUMMYFUNCTION("""COMPUTED_VALUE"""),"Yes")</f>
        <v>Yes</v>
      </c>
      <c r="G96" s="2">
        <f>IFERROR(__xludf.DUMMYFUNCTION("""COMPUTED_VALUE"""),0.5)</f>
        <v>0.5</v>
      </c>
      <c r="H96" s="2">
        <f>IFERROR(__xludf.DUMMYFUNCTION("""COMPUTED_VALUE"""),1.0)</f>
        <v>1</v>
      </c>
      <c r="I96" s="2">
        <f>IFERROR(__xludf.DUMMYFUNCTION("""COMPUTED_VALUE"""),0.5)</f>
        <v>0.5</v>
      </c>
      <c r="J96" s="2">
        <f>IFERROR(__xludf.DUMMYFUNCTION("""COMPUTED_VALUE"""),1.0)</f>
        <v>1</v>
      </c>
      <c r="K96" s="2" t="str">
        <f>IFERROR(__xludf.DUMMYFUNCTION("""COMPUTED_VALUE"""),"5 – High-quality, Clean Bangla speech")</f>
        <v>5 – High-quality, Clean Bangla speech</v>
      </c>
      <c r="L96" s="2" t="str">
        <f>IFERROR(__xludf.DUMMYFUNCTION("""COMPUTED_VALUE"""),"No")</f>
        <v>No</v>
      </c>
    </row>
    <row r="97">
      <c r="A97" s="2" t="str">
        <f>IFERROR(__xludf.DUMMYFUNCTION("""COMPUTED_VALUE"""),"\collect\read\YouTube\TORONGO\_dUQ4QvI2nc\74e2dec2-0c4f-4cb5-b601-1e4d4fe7b1db.flac")</f>
        <v>\collect\read\YouTube\TORONGO\_dUQ4QvI2nc\74e2dec2-0c4f-4cb5-b601-1e4d4fe7b1db.flac</v>
      </c>
      <c r="B97" s="2">
        <f>IFERROR(__xludf.DUMMYFUNCTION("""COMPUTED_VALUE"""),30.0)</f>
        <v>30</v>
      </c>
      <c r="C97" s="2" t="str">
        <f>IFERROR(__xludf.DUMMYFUNCTION("""COMPUTED_VALUE"""),"ক্ষেত্রে যেটা হয় বিয়ের পর কিন্তু বাধা প্রতিবন্ধকতার সম্মুখীন হওয়ায় একটা সময়ে হয়তো তারা আর পারছে না তখন গান্নিউ থেকে দূরে সরে চলে যাবে সটা হয় বরআমাদের দেশে বিশেষ করে বেশিরভাগ এটাই হয়ে থাকে কিন্তু আসলে গানটা এমন একটা জিনিস যার ভিতরে রক্তের মাঝে মিশে গেছে সে"&amp;" কোনোদিন ছাড়তে পারে ছাড়তে পারবে না জানতে চাইলেও পারবে না তো")</f>
        <v>ক্ষেত্রে যেটা হয় বিয়ের পর কিন্তু বাধা প্রতিবন্ধকতার সম্মুখীন হওয়ায় একটা সময়ে হয়তো তারা আর পারছে না তখন গান্নিউ থেকে দূরে সরে চলে যাবে সটা হয় বরআমাদের দেশে বিশেষ করে বেশিরভাগ এটাই হয়ে থাকে কিন্তু আসলে গানটা এমন একটা জিনিস যার ভিতরে রক্তের মাঝে মিশে গেছে সে কোনোদিন ছাড়তে পারে ছাড়তে পারবে না জানতে চাইলেও পারবে না তো</v>
      </c>
      <c r="D97" s="2" t="str">
        <f>IFERROR(__xludf.DUMMYFUNCTION("""COMPUTED_VALUE"""),"Yes")</f>
        <v>Yes</v>
      </c>
      <c r="E97" s="2" t="str">
        <f>IFERROR(__xludf.DUMMYFUNCTION("""COMPUTED_VALUE"""),"Yes")</f>
        <v>Yes</v>
      </c>
      <c r="F97" s="2" t="str">
        <f>IFERROR(__xludf.DUMMYFUNCTION("""COMPUTED_VALUE"""),"Yes")</f>
        <v>Yes</v>
      </c>
      <c r="G97" s="2">
        <f>IFERROR(__xludf.DUMMYFUNCTION("""COMPUTED_VALUE"""),0.5)</f>
        <v>0.5</v>
      </c>
      <c r="H97" s="2">
        <f>IFERROR(__xludf.DUMMYFUNCTION("""COMPUTED_VALUE"""),0.5)</f>
        <v>0.5</v>
      </c>
      <c r="I97" s="2">
        <f>IFERROR(__xludf.DUMMYFUNCTION("""COMPUTED_VALUE"""),0.5)</f>
        <v>0.5</v>
      </c>
      <c r="J97" s="2">
        <f>IFERROR(__xludf.DUMMYFUNCTION("""COMPUTED_VALUE"""),0.5)</f>
        <v>0.5</v>
      </c>
      <c r="K97" s="2" t="str">
        <f>IFERROR(__xludf.DUMMYFUNCTION("""COMPUTED_VALUE"""),"5 – High-quality, Clean Bangla speech")</f>
        <v>5 – High-quality, Clean Bangla speech</v>
      </c>
      <c r="L97" s="2" t="str">
        <f>IFERROR(__xludf.DUMMYFUNCTION("""COMPUTED_VALUE"""),"No")</f>
        <v>No</v>
      </c>
    </row>
    <row r="98">
      <c r="A98" s="2" t="str">
        <f>IFERROR(__xludf.DUMMYFUNCTION("""COMPUTED_VALUE"""),"\collect\read\YouTube\TORONGO\_dUQ4QvI2nc\7909ea64-a9cd-4419-9412-e406a1c601cc.flac")</f>
        <v>\collect\read\YouTube\TORONGO\_dUQ4QvI2nc\7909ea64-a9cd-4419-9412-e406a1c601cc.flac</v>
      </c>
      <c r="B98" s="2">
        <f>IFERROR(__xludf.DUMMYFUNCTION("""COMPUTED_VALUE"""),30.0)</f>
        <v>30</v>
      </c>
      <c r="C98" s="2" t="str">
        <f>IFERROR(__xludf.DUMMYFUNCTION("""COMPUTED_VALUE"""),"সৃ্টি গুরুমুখী বিদ্যা সেই শুরু থেকে সেই সব দিয়ে দমতে ন একদম হ্যাঁ তো যেটি বলছিলাম তাহলে বেতার শুনে শুনে আপনি অনুপ্রাণিত হয়ে এবং আপনার মায়ের উৎসাহ অনুপ্রেরণায় আপনি অবশ্য গান শেখা শুরু করলেনহ্যা আছা তো বেতারে এই যে আপনি শুরু হলো আপনার উচ্চাঙ্গ সঙ্গীতে কোর্স"&amp;" করলেন তারপর নজরুলসঙ্গীতে এই শুরুটা যখন চলছিল তখন স্কুল কলেজে পাশে ি কোনো প্রতিযোগ")</f>
        <v>সৃ্টি গুরুমুখী বিদ্যা সেই শুরু থেকে সেই সব দিয়ে দমতে ন একদম হ্যাঁ তো যেটি বলছিলাম তাহলে বেতার শুনে শুনে আপনি অনুপ্রাণিত হয়ে এবং আপনার মায়ের উৎসাহ অনুপ্রেরণায় আপনি অবশ্য গান শেখা শুরু করলেনহ্যা আছা তো বেতারে এই যে আপনি শুরু হলো আপনার উচ্চাঙ্গ সঙ্গীতে কোর্স করলেন তারপর নজরুলসঙ্গীতে এই শুরুটা যখন চলছিল তখন স্কুল কলেজে পাশে ি কোনো প্রতিযোগ</v>
      </c>
      <c r="D98" s="2" t="str">
        <f>IFERROR(__xludf.DUMMYFUNCTION("""COMPUTED_VALUE"""),"Yes")</f>
        <v>Yes</v>
      </c>
      <c r="E98" s="2" t="str">
        <f>IFERROR(__xludf.DUMMYFUNCTION("""COMPUTED_VALUE"""),"No")</f>
        <v>No</v>
      </c>
      <c r="F98" s="2" t="str">
        <f>IFERROR(__xludf.DUMMYFUNCTION("""COMPUTED_VALUE"""),"Yes")</f>
        <v>Yes</v>
      </c>
      <c r="G98" s="2">
        <f>IFERROR(__xludf.DUMMYFUNCTION("""COMPUTED_VALUE"""),0.5)</f>
        <v>0.5</v>
      </c>
      <c r="H98" s="2">
        <f>IFERROR(__xludf.DUMMYFUNCTION("""COMPUTED_VALUE"""),1.0)</f>
        <v>1</v>
      </c>
      <c r="I98" s="2">
        <f>IFERROR(__xludf.DUMMYFUNCTION("""COMPUTED_VALUE"""),1.0)</f>
        <v>1</v>
      </c>
      <c r="J98" s="2">
        <f>IFERROR(__xludf.DUMMYFUNCTION("""COMPUTED_VALUE"""),1.0)</f>
        <v>1</v>
      </c>
      <c r="K98" s="2" t="str">
        <f>IFERROR(__xludf.DUMMYFUNCTION("""COMPUTED_VALUE"""),"5 – High-quality, Clean Bangla speech")</f>
        <v>5 – High-quality, Clean Bangla speech</v>
      </c>
      <c r="L98" s="2" t="str">
        <f>IFERROR(__xludf.DUMMYFUNCTION("""COMPUTED_VALUE"""),"No")</f>
        <v>No</v>
      </c>
    </row>
    <row r="99">
      <c r="A99" s="2" t="str">
        <f>IFERROR(__xludf.DUMMYFUNCTION("""COMPUTED_VALUE"""),"\collect\read\YouTube\TORONGO\_dUQ4QvI2nc\7be56bc4-6dad-436d-859b-595461cbfab1.flac")</f>
        <v>\collect\read\YouTube\TORONGO\_dUQ4QvI2nc\7be56bc4-6dad-436d-859b-595461cbfab1.flac</v>
      </c>
      <c r="B99" s="2">
        <f>IFERROR(__xludf.DUMMYFUNCTION("""COMPUTED_VALUE"""),30.0)</f>
        <v>30</v>
      </c>
      <c r="C99" s="2" t="str">
        <f>IFERROR(__xludf.DUMMYFUNCTION("""COMPUTED_VALUE"""),"এই যে আর সঙ্গীত জীবনের পথচলা শুরু হলো তারপর মিডিয়ায় কখন আমি এরপরে মা জাহান হিসেবে আত্মপ্রকাশ ঘটে আপনার আমি এরপরে বাংলাদেশ বেতারে আমি এলিস্টিড হয়েছে উনিশশো ছিয়াশি শোনি আছে তখন প্রথমেই নজরুলসঙ্গীতে আমি এনলিস্টেড হয়েছে এর পরে আধুনিক এসেছি আধুনিকে তারপরে আমি "&amp;"বাংলাদেশ টেলিভিশনে উনিশশো একানব্বই সানে জি আমি তালিকাভুক্ত")</f>
        <v>এই যে আর সঙ্গীত জীবনের পথচলা শুরু হলো তারপর মিডিয়ায় কখন আমি এরপরে মা জাহান হিসেবে আত্মপ্রকাশ ঘটে আপনার আমি এরপরে বাংলাদেশ বেতারে আমি এলিস্টিড হয়েছে উনিশশো ছিয়াশি শোনি আছে তখন প্রথমেই নজরুলসঙ্গীতে আমি এনলিস্টেড হয়েছে এর পরে আধুনিক এসেছি আধুনিকে তারপরে আমি বাংলাদেশ টেলিভিশনে উনিশশো একানব্বই সানে জি আমি তালিকাভুক্ত</v>
      </c>
      <c r="D99" s="2" t="str">
        <f>IFERROR(__xludf.DUMMYFUNCTION("""COMPUTED_VALUE"""),"Yes")</f>
        <v>Yes</v>
      </c>
      <c r="E99" s="2" t="str">
        <f>IFERROR(__xludf.DUMMYFUNCTION("""COMPUTED_VALUE"""),"Yes")</f>
        <v>Yes</v>
      </c>
      <c r="F99" s="2" t="str">
        <f>IFERROR(__xludf.DUMMYFUNCTION("""COMPUTED_VALUE"""),"Yes")</f>
        <v>Yes</v>
      </c>
      <c r="G99" s="2">
        <f>IFERROR(__xludf.DUMMYFUNCTION("""COMPUTED_VALUE"""),1.0)</f>
        <v>1</v>
      </c>
      <c r="H99" s="2">
        <f>IFERROR(__xludf.DUMMYFUNCTION("""COMPUTED_VALUE"""),1.0)</f>
        <v>1</v>
      </c>
      <c r="I99" s="2">
        <f>IFERROR(__xludf.DUMMYFUNCTION("""COMPUTED_VALUE"""),0.5)</f>
        <v>0.5</v>
      </c>
      <c r="J99" s="2">
        <f>IFERROR(__xludf.DUMMYFUNCTION("""COMPUTED_VALUE"""),1.0)</f>
        <v>1</v>
      </c>
      <c r="K99" s="2" t="str">
        <f>IFERROR(__xludf.DUMMYFUNCTION("""COMPUTED_VALUE"""),"5 – High-quality, Clean Bangla speech")</f>
        <v>5 – High-quality, Clean Bangla speech</v>
      </c>
      <c r="L99" s="2" t="str">
        <f>IFERROR(__xludf.DUMMYFUNCTION("""COMPUTED_VALUE"""),"No")</f>
        <v>No</v>
      </c>
    </row>
    <row r="100">
      <c r="A100" s="2" t="str">
        <f>IFERROR(__xludf.DUMMYFUNCTION("""COMPUTED_VALUE"""),"\collect\read\YouTube\TORONGO\_dUQ4QvI2nc\7e7e50ac-8942-4521-ac2f-8d16c252a85d.flac")</f>
        <v>\collect\read\YouTube\TORONGO\_dUQ4QvI2nc\7e7e50ac-8942-4521-ac2f-8d16c252a85d.flac</v>
      </c>
      <c r="B100" s="2">
        <f>IFERROR(__xludf.DUMMYFUNCTION("""COMPUTED_VALUE"""),30.0)</f>
        <v>30</v>
      </c>
      <c r="C100" s="2" t="str">
        <f>IFERROR(__xludf.DUMMYFUNCTION("""COMPUTED_VALUE"""),"শ দেখা যায় বিশেষ করে বর্ষাকালে টিনের চালে বৃষ্টি পড়া শব্দ পারিপার্শ্বিক সৌন্দর্যকে আরও বাড়িয়ে দেয় অল্প জায়গায় গাদাগাদি করে থাকতে হলেও শ্রমজীবী ক্ষুদ্র ব্যবসায়ী এবং শহরের আগন্তুকদের কাছে বেশ জন প্রিয় এসব হোটেল এত অল্প টাকায় রাত্রি যাপনের আর ভালো কোনো সুযোগ"&amp;" তাদের সামনে নেই হোটেলে রয়েছে অভ্যর্থনা কক্ষ ঈদ পূজায় এই হোটেল বন্ধ হয় না ফরিদপুর মুসলিম হোটেল ছাড়াও এই জায়গায় আরও পাঁচটি ভাসমান হোটেল র")</f>
        <v>শ দেখা যায় বিশেষ করে বর্ষাকালে টিনের চালে বৃষ্টি পড়া শব্দ পারিপার্শ্বিক সৌন্দর্যকে আরও বাড়িয়ে দেয় অল্প জায়গায় গাদাগাদি করে থাকতে হলেও শ্রমজীবী ক্ষুদ্র ব্যবসায়ী এবং শহরের আগন্তুকদের কাছে বেশ জন প্রিয় এসব হোটেল এত অল্প টাকায় রাত্রি যাপনের আর ভালো কোনো সুযোগ তাদের সামনে নেই হোটেলে রয়েছে অভ্যর্থনা কক্ষ ঈদ পূজায় এই হোটেল বন্ধ হয় না ফরিদপুর মুসলিম হোটেল ছাড়াও এই জায়গায় আরও পাঁচটি ভাসমান হোটেল র</v>
      </c>
      <c r="D100" s="2" t="str">
        <f>IFERROR(__xludf.DUMMYFUNCTION("""COMPUTED_VALUE"""),"Yes")</f>
        <v>Yes</v>
      </c>
      <c r="E100" s="2" t="str">
        <f>IFERROR(__xludf.DUMMYFUNCTION("""COMPUTED_VALUE"""),"Yes")</f>
        <v>Yes</v>
      </c>
      <c r="F100" s="2" t="str">
        <f>IFERROR(__xludf.DUMMYFUNCTION("""COMPUTED_VALUE"""),"No")</f>
        <v>No</v>
      </c>
      <c r="G100" s="2">
        <f>IFERROR(__xludf.DUMMYFUNCTION("""COMPUTED_VALUE"""),1.0)</f>
        <v>1</v>
      </c>
      <c r="H100" s="2">
        <f>IFERROR(__xludf.DUMMYFUNCTION("""COMPUTED_VALUE"""),1.0)</f>
        <v>1</v>
      </c>
      <c r="I100" s="2">
        <f>IFERROR(__xludf.DUMMYFUNCTION("""COMPUTED_VALUE"""),1.0)</f>
        <v>1</v>
      </c>
      <c r="J100" s="2">
        <f>IFERROR(__xludf.DUMMYFUNCTION("""COMPUTED_VALUE"""),1.0)</f>
        <v>1</v>
      </c>
      <c r="K100" s="2" t="str">
        <f>IFERROR(__xludf.DUMMYFUNCTION("""COMPUTED_VALUE"""),"5 – High-quality, Clean Bangla speech")</f>
        <v>5 – High-quality, Clean Bangla speech</v>
      </c>
      <c r="L100" s="2" t="str">
        <f>IFERROR(__xludf.DUMMYFUNCTION("""COMPUTED_VALUE"""),"No")</f>
        <v>No</v>
      </c>
    </row>
    <row r="101">
      <c r="A101" s="2" t="str">
        <f>IFERROR(__xludf.DUMMYFUNCTION("""COMPUTED_VALUE"""),"\collect\read\YouTube\TORONGO\_dUQ4QvI2nc\7f8996ab-5c0e-47c8-aee8-1701ab5c20af.flac")</f>
        <v>\collect\read\YouTube\TORONGO\_dUQ4QvI2nc\7f8996ab-5c0e-47c8-aee8-1701ab5c20af.flac</v>
      </c>
      <c r="B101" s="2">
        <f>IFERROR(__xludf.DUMMYFUNCTION("""COMPUTED_VALUE"""),30.0)</f>
        <v>30</v>
      </c>
      <c r="C101" s="2" t="str">
        <f>IFERROR(__xludf.DUMMYFUNCTION("""COMPUTED_VALUE"""),"হোটেলগুলো বেশ জমজমাট ছিলো দেশের প্রত ত্যন্ত অঞ্চল থেকে আসা ব্যবসায়ীদের অনেকে রাতে থাকার জন্য বেছে নিতেন ভাসমান নৌকা এগুলোই দেশের প্রথম ভাসমান হোটেল হোটেলগুলোতে শুরু থেকেই খাওয়ার ব্যবস্থা থাকলেও দুই হাজার দুই সাল থেকে শুধু রাত্রি যাপনেরই ব্যবস্থা রয়েছে ঢেউ"&amp;"য়ের উপর নৌকার মৃদু দুলনী উপভোগ্য টার্মিনাল থেকে বেশ দূরে হওয়ায় এখানে খুব বেশি কোলাহলও নেই এখান থেকে সুন্দর প্রাকৃতিক")</f>
        <v>হোটেলগুলো বেশ জমজমাট ছিলো দেশের প্রত ত্যন্ত অঞ্চল থেকে আসা ব্যবসায়ীদের অনেকে রাতে থাকার জন্য বেছে নিতেন ভাসমান নৌকা এগুলোই দেশের প্রথম ভাসমান হোটেল হোটেলগুলোতে শুরু থেকেই খাওয়ার ব্যবস্থা থাকলেও দুই হাজার দুই সাল থেকে শুধু রাত্রি যাপনেরই ব্যবস্থা রয়েছে ঢেউয়ের উপর নৌকার মৃদু দুলনী উপভোগ্য টার্মিনাল থেকে বেশ দূরে হওয়ায় এখানে খুব বেশি কোলাহলও নেই এখান থেকে সুন্দর প্রাকৃতিক</v>
      </c>
      <c r="D101" s="2" t="str">
        <f>IFERROR(__xludf.DUMMYFUNCTION("""COMPUTED_VALUE"""),"Yes")</f>
        <v>Yes</v>
      </c>
      <c r="E101" s="2" t="str">
        <f>IFERROR(__xludf.DUMMYFUNCTION("""COMPUTED_VALUE"""),"No")</f>
        <v>No</v>
      </c>
      <c r="F101" s="2" t="str">
        <f>IFERROR(__xludf.DUMMYFUNCTION("""COMPUTED_VALUE"""),"No")</f>
        <v>No</v>
      </c>
      <c r="G101" s="2">
        <f>IFERROR(__xludf.DUMMYFUNCTION("""COMPUTED_VALUE"""),1.0)</f>
        <v>1</v>
      </c>
      <c r="H101" s="2">
        <f>IFERROR(__xludf.DUMMYFUNCTION("""COMPUTED_VALUE"""),1.0)</f>
        <v>1</v>
      </c>
      <c r="I101" s="2">
        <f>IFERROR(__xludf.DUMMYFUNCTION("""COMPUTED_VALUE"""),1.0)</f>
        <v>1</v>
      </c>
      <c r="J101" s="2">
        <f>IFERROR(__xludf.DUMMYFUNCTION("""COMPUTED_VALUE"""),1.0)</f>
        <v>1</v>
      </c>
      <c r="K101" s="2" t="str">
        <f>IFERROR(__xludf.DUMMYFUNCTION("""COMPUTED_VALUE"""),"5 – High-quality, Clean Bangla speech")</f>
        <v>5 – High-quality, Clean Bangla speech</v>
      </c>
      <c r="L101" s="2" t="str">
        <f>IFERROR(__xludf.DUMMYFUNCTION("""COMPUTED_VALUE"""),"No")</f>
        <v>No</v>
      </c>
    </row>
    <row r="102">
      <c r="A102" s="2" t="str">
        <f>IFERROR(__xludf.DUMMYFUNCTION("""COMPUTED_VALUE"""),"\collect\read\YouTube\TORONGO\_dUQ4QvI2nc\802efc8e-45b1-42cb-801e-f015ffdd67df.flac")</f>
        <v>\collect\read\YouTube\TORONGO\_dUQ4QvI2nc\802efc8e-45b1-42cb-801e-f015ffdd67df.flac</v>
      </c>
      <c r="B102" s="2">
        <f>IFERROR(__xludf.DUMMYFUNCTION("""COMPUTED_VALUE"""),30.0)</f>
        <v>30</v>
      </c>
      <c r="C102" s="2" t="str">
        <f>IFERROR(__xludf.DUMMYFUNCTION("""COMPUTED_VALUE"""),"তোমাকে যাবে না ভলে হে তুমি মোরছি ইবনের ভবো না হৃদয়ে সুখে এর দলা বাহ অসাধারণ বাদী একটু আগেই শুরুতেই বলছিলাম যি খুবই বিষ্টি কণ্ঠে এরকম হৃদয়গ্রাহী এই গানগুলি এমন কয়েকটি গানের মধ্যে দিয়ে শিল্পী বেঁচে থাকেন এে অবশ্যই হয়তো বা এঠিক")</f>
        <v>তোমাকে যাবে না ভলে হে তুমি মোরছি ইবনের ভবো না হৃদয়ে সুখে এর দলা বাহ অসাধারণ বাদী একটু আগেই শুরুতেই বলছিলাম যি খুবই বিষ্টি কণ্ঠে এরকম হৃদয়গ্রাহী এই গানগুলি এমন কয়েকটি গানের মধ্যে দিয়ে শিল্পী বেঁচে থাকেন এে অবশ্যই হয়তো বা এঠিক</v>
      </c>
      <c r="D102" s="2" t="str">
        <f>IFERROR(__xludf.DUMMYFUNCTION("""COMPUTED_VALUE"""),"Yes")</f>
        <v>Yes</v>
      </c>
      <c r="E102" s="2" t="str">
        <f>IFERROR(__xludf.DUMMYFUNCTION("""COMPUTED_VALUE"""),"Yes")</f>
        <v>Yes</v>
      </c>
      <c r="F102" s="2" t="str">
        <f>IFERROR(__xludf.DUMMYFUNCTION("""COMPUTED_VALUE"""),"Yes")</f>
        <v>Yes</v>
      </c>
      <c r="G102" s="2">
        <f>IFERROR(__xludf.DUMMYFUNCTION("""COMPUTED_VALUE"""),0.5)</f>
        <v>0.5</v>
      </c>
      <c r="H102" s="2">
        <f>IFERROR(__xludf.DUMMYFUNCTION("""COMPUTED_VALUE"""),1.0)</f>
        <v>1</v>
      </c>
      <c r="I102" s="2">
        <f>IFERROR(__xludf.DUMMYFUNCTION("""COMPUTED_VALUE"""),0.5)</f>
        <v>0.5</v>
      </c>
      <c r="J102" s="2">
        <f>IFERROR(__xludf.DUMMYFUNCTION("""COMPUTED_VALUE"""),1.0)</f>
        <v>1</v>
      </c>
      <c r="K102" s="2" t="str">
        <f>IFERROR(__xludf.DUMMYFUNCTION("""COMPUTED_VALUE"""),"5 – High-quality, Clean Bangla speech")</f>
        <v>5 – High-quality, Clean Bangla speech</v>
      </c>
      <c r="L102" s="2" t="str">
        <f>IFERROR(__xludf.DUMMYFUNCTION("""COMPUTED_VALUE"""),"No")</f>
        <v>No</v>
      </c>
    </row>
    <row r="103">
      <c r="A103" s="2" t="str">
        <f>IFERROR(__xludf.DUMMYFUNCTION("""COMPUTED_VALUE"""),"\collect\read\YouTube\TORONGO\_dUQ4QvI2nc\81230505-82ea-4678-b292-cb4fbf3ed7a2.flac")</f>
        <v>\collect\read\YouTube\TORONGO\_dUQ4QvI2nc\81230505-82ea-4678-b292-cb4fbf3ed7a2.flac</v>
      </c>
      <c r="B103" s="2">
        <f>IFERROR(__xludf.DUMMYFUNCTION("""COMPUTED_VALUE"""),30.0)</f>
        <v>30</v>
      </c>
      <c r="C103" s="2" t="str">
        <f>IFERROR(__xludf.DUMMYFUNCTION("""COMPUTED_VALUE"""),"রবীন্দ্রনাথ ঠাকুর ঢাকায় এসেছিলেন দুবার দুবারী তিনি অতিথি হিসেবে রাত্রি যাপন করেছেন নবাবদীর প্রমোদ তৈরীতে কালের বিবর্তনে প্রমোদ তৈরী হারিয়ে গেছে তবে সেগুলোর আদলে তৈরি হয়েছে ভাসমান নৌকা যা বুড়িগঙ্গার ধারে এখন ব্যবহৃত হচ্ছে সুলভ বোর্ডিং বা হোটেল হিসেবে ইতিহা"&amp;"স থেকে জানা যায় ষোলশো আট সালে মতান্তরে ষোলশো দশ সালে সম্রাট জাহাঙ্গীর ঢাকাকে রাজধানী ঘোষণা করে")</f>
        <v>রবীন্দ্রনাথ ঠাকুর ঢাকায় এসেছিলেন দুবার দুবারী তিনি অতিথি হিসেবে রাত্রি যাপন করেছেন নবাবদীর প্রমোদ তৈরীতে কালের বিবর্তনে প্রমোদ তৈরী হারিয়ে গেছে তবে সেগুলোর আদলে তৈরি হয়েছে ভাসমান নৌকা যা বুড়িগঙ্গার ধারে এখন ব্যবহৃত হচ্ছে সুলভ বোর্ডিং বা হোটেল হিসেবে ইতিহাস থেকে জানা যায় ষোলশো আট সালে মতান্তরে ষোলশো দশ সালে সম্রাট জাহাঙ্গীর ঢাকাকে রাজধানী ঘোষণা করে</v>
      </c>
      <c r="D103" s="2" t="str">
        <f>IFERROR(__xludf.DUMMYFUNCTION("""COMPUTED_VALUE"""),"Yes")</f>
        <v>Yes</v>
      </c>
      <c r="E103" s="2" t="str">
        <f>IFERROR(__xludf.DUMMYFUNCTION("""COMPUTED_VALUE"""),"No")</f>
        <v>No</v>
      </c>
      <c r="F103" s="2" t="str">
        <f>IFERROR(__xludf.DUMMYFUNCTION("""COMPUTED_VALUE"""),"No")</f>
        <v>No</v>
      </c>
      <c r="G103" s="2">
        <f>IFERROR(__xludf.DUMMYFUNCTION("""COMPUTED_VALUE"""),1.0)</f>
        <v>1</v>
      </c>
      <c r="H103" s="2">
        <f>IFERROR(__xludf.DUMMYFUNCTION("""COMPUTED_VALUE"""),1.0)</f>
        <v>1</v>
      </c>
      <c r="I103" s="2">
        <f>IFERROR(__xludf.DUMMYFUNCTION("""COMPUTED_VALUE"""),1.0)</f>
        <v>1</v>
      </c>
      <c r="J103" s="2">
        <f>IFERROR(__xludf.DUMMYFUNCTION("""COMPUTED_VALUE"""),1.0)</f>
        <v>1</v>
      </c>
      <c r="K103" s="2" t="str">
        <f>IFERROR(__xludf.DUMMYFUNCTION("""COMPUTED_VALUE"""),"5 – High-quality, Clean Bangla speech")</f>
        <v>5 – High-quality, Clean Bangla speech</v>
      </c>
      <c r="L103" s="2" t="str">
        <f>IFERROR(__xludf.DUMMYFUNCTION("""COMPUTED_VALUE"""),"No")</f>
        <v>No</v>
      </c>
    </row>
    <row r="104">
      <c r="A104" s="2" t="str">
        <f>IFERROR(__xludf.DUMMYFUNCTION("""COMPUTED_VALUE"""),"\collect\read\YouTube\TORONGO\_dUQ4QvI2nc\837b333a-9f75-464e-80ec-24f1d7c5e69f.flac")</f>
        <v>\collect\read\YouTube\TORONGO\_dUQ4QvI2nc\837b333a-9f75-464e-80ec-24f1d7c5e69f.flac</v>
      </c>
      <c r="B104" s="2">
        <f>IFERROR(__xludf.DUMMYFUNCTION("""COMPUTED_VALUE"""),30.0)</f>
        <v>30</v>
      </c>
      <c r="C104" s="2" t="str">
        <f>IFERROR(__xludf.DUMMYFUNCTION("""COMPUTED_VALUE"""),"সচেতন হতে হবে সকলকেই বন্ধুরা আজকের অনুষ্ঠানে একেবারে শেষ প্রান্তে আমরা সকল কি আবারও শুভেচ্ছা জানিয়ে আজকের মত বিদায় নিচ্ছি সপলি মাছক পড়ুন ভালো থাকো আজকের অনুষ্ঠানটি গ্রন্থনায় ছিলেন লিয়াকত আলী খান উপস্থাপনায় ছিলাম আমি রফিকা বিনতে জাহি এবং লিয়াসত আলী খান প্র"&amp;"যোজনা সহকারী আমিনুল ইসলাম প্রকৌশল দায়িত্বে মুহাম্মদ সিরাজুল আলম তত্ত্বাবধানে মোহাম্মদ মনির হোসেন এবং অনুষ্ঠানটি প্রযোজনা করেছেন")</f>
        <v>সচেতন হতে হবে সকলকেই বন্ধুরা আজকের অনুষ্ঠানে একেবারে শেষ প্রান্তে আমরা সকল কি আবারও শুভেচ্ছা জানিয়ে আজকের মত বিদায় নিচ্ছি সপলি মাছক পড়ুন ভালো থাকো আজকের অনুষ্ঠানটি গ্রন্থনায় ছিলেন লিয়াকত আলী খান উপস্থাপনায় ছিলাম আমি রফিকা বিনতে জাহি এবং লিয়াসত আলী খান প্রযোজনা সহকারী আমিনুল ইসলাম প্রকৌশল দায়িত্বে মুহাম্মদ সিরাজুল আলম তত্ত্বাবধানে মোহাম্মদ মনির হোসেন এবং অনুষ্ঠানটি প্রযোজনা করেছেন</v>
      </c>
      <c r="D104" s="2" t="str">
        <f>IFERROR(__xludf.DUMMYFUNCTION("""COMPUTED_VALUE"""),"Yes")</f>
        <v>Yes</v>
      </c>
      <c r="E104" s="2" t="str">
        <f>IFERROR(__xludf.DUMMYFUNCTION("""COMPUTED_VALUE"""),"No")</f>
        <v>No</v>
      </c>
      <c r="F104" s="2" t="str">
        <f>IFERROR(__xludf.DUMMYFUNCTION("""COMPUTED_VALUE"""),"No")</f>
        <v>No</v>
      </c>
      <c r="G104" s="2">
        <f>IFERROR(__xludf.DUMMYFUNCTION("""COMPUTED_VALUE"""),1.0)</f>
        <v>1</v>
      </c>
      <c r="H104" s="2">
        <f>IFERROR(__xludf.DUMMYFUNCTION("""COMPUTED_VALUE"""),1.0)</f>
        <v>1</v>
      </c>
      <c r="I104" s="2">
        <f>IFERROR(__xludf.DUMMYFUNCTION("""COMPUTED_VALUE"""),0.5)</f>
        <v>0.5</v>
      </c>
      <c r="J104" s="2">
        <f>IFERROR(__xludf.DUMMYFUNCTION("""COMPUTED_VALUE"""),1.0)</f>
        <v>1</v>
      </c>
      <c r="K104" s="2" t="str">
        <f>IFERROR(__xludf.DUMMYFUNCTION("""COMPUTED_VALUE"""),"5 – High-quality, Clean Bangla speech")</f>
        <v>5 – High-quality, Clean Bangla speech</v>
      </c>
      <c r="L104" s="2" t="str">
        <f>IFERROR(__xludf.DUMMYFUNCTION("""COMPUTED_VALUE"""),"No")</f>
        <v>No</v>
      </c>
    </row>
    <row r="105">
      <c r="A105" s="2" t="str">
        <f>IFERROR(__xludf.DUMMYFUNCTION("""COMPUTED_VALUE"""),"\collect\read\YouTube\TORONGO\_dUQ4QvI2nc\83969352-1a9f-44f0-9545-27cbb348e215.flac")</f>
        <v>\collect\read\YouTube\TORONGO\_dUQ4QvI2nc\83969352-1a9f-44f0-9545-27cbb348e215.flac</v>
      </c>
      <c r="B105" s="2">
        <f>IFERROR(__xludf.DUMMYFUNCTION("""COMPUTED_VALUE"""),30.0)</f>
        <v>30</v>
      </c>
      <c r="C105" s="2" t="str">
        <f>IFERROR(__xludf.DUMMYFUNCTION("""COMPUTED_VALUE"""),"আর গীতিকার ছিলেন আবদুল্ হাই আল হাদিস আর সুরকার ছিলেন এ কে আজাদ মিন্টু এত বেশি বদশ্য আরেকটি সুন্দর গান আছে আমি একবার এসে দেখে যাচ হ্যা এই গানটিও অনেক জনপ্রিয় হয়েছিল প্রিয় একটি গান তারপর বেশ আরো পরবর্তীতে আরও অনেক ছবি আছে একটি ছবির কথা আমার খুব মনে পড়ছে আপন"&amp;"ার খুব আনন্দাশ্রু ছবিতে বেশ সুন্দর সুন্দর গান আছে হ্যাঁ হ্যা যেমন তোরে ভয়ংকর জঙ্গল দক্ষিণ নেয়া যাওয়া মঙ্গল হ্যাঁ এটি")</f>
        <v>আর গীতিকার ছিলেন আবদুল্ হাই আল হাদিস আর সুরকার ছিলেন এ কে আজাদ মিন্টু এত বেশি বদশ্য আরেকটি সুন্দর গান আছে আমি একবার এসে দেখে যাচ হ্যা এই গানটিও অনেক জনপ্রিয় হয়েছিল প্রিয় একটি গান তারপর বেশ আরো পরবর্তীতে আরও অনেক ছবি আছে একটি ছবির কথা আমার খুব মনে পড়ছে আপনার খুব আনন্দাশ্রু ছবিতে বেশ সুন্দর সুন্দর গান আছে হ্যাঁ হ্যা যেমন তোরে ভয়ংকর জঙ্গল দক্ষিণ নেয়া যাওয়া মঙ্গল হ্যাঁ এটি</v>
      </c>
      <c r="D105" s="2" t="str">
        <f>IFERROR(__xludf.DUMMYFUNCTION("""COMPUTED_VALUE"""),"Yes")</f>
        <v>Yes</v>
      </c>
      <c r="E105" s="2" t="str">
        <f>IFERROR(__xludf.DUMMYFUNCTION("""COMPUTED_VALUE"""),"No")</f>
        <v>No</v>
      </c>
      <c r="F105" s="2" t="str">
        <f>IFERROR(__xludf.DUMMYFUNCTION("""COMPUTED_VALUE"""),"Yes")</f>
        <v>Yes</v>
      </c>
      <c r="G105" s="2">
        <f>IFERROR(__xludf.DUMMYFUNCTION("""COMPUTED_VALUE"""),0.5)</f>
        <v>0.5</v>
      </c>
      <c r="H105" s="2">
        <f>IFERROR(__xludf.DUMMYFUNCTION("""COMPUTED_VALUE"""),1.0)</f>
        <v>1</v>
      </c>
      <c r="I105" s="2">
        <f>IFERROR(__xludf.DUMMYFUNCTION("""COMPUTED_VALUE"""),1.0)</f>
        <v>1</v>
      </c>
      <c r="J105" s="2">
        <f>IFERROR(__xludf.DUMMYFUNCTION("""COMPUTED_VALUE"""),1.0)</f>
        <v>1</v>
      </c>
      <c r="K105" s="2" t="str">
        <f>IFERROR(__xludf.DUMMYFUNCTION("""COMPUTED_VALUE"""),"5 – High-quality, Clean Bangla speech")</f>
        <v>5 – High-quality, Clean Bangla speech</v>
      </c>
      <c r="L105" s="2" t="str">
        <f>IFERROR(__xludf.DUMMYFUNCTION("""COMPUTED_VALUE"""),"No")</f>
        <v>No</v>
      </c>
    </row>
    <row r="106">
      <c r="A106" s="2" t="str">
        <f>IFERROR(__xludf.DUMMYFUNCTION("""COMPUTED_VALUE"""),"\collect\read\YouTube\TORONGO\_dUQ4QvI2nc\88fa4bdb-2ec7-42f4-bee2-d0f88fa8c261.flac")</f>
        <v>\collect\read\YouTube\TORONGO\_dUQ4QvI2nc\88fa4bdb-2ec7-42f4-bee2-d0f88fa8c261.flac</v>
      </c>
      <c r="B106" s="2">
        <f>IFERROR(__xludf.DUMMYFUNCTION("""COMPUTED_VALUE"""),30.0)</f>
        <v>30</v>
      </c>
      <c r="C106" s="2" t="str">
        <f>IFERROR(__xludf.DUMMYFUNCTION("""COMPUTED_VALUE"""),"চলা শুরু এই তো অনেক আসলে সঙ্গীত শিখাটা আবার শুরুটা আয় যে বড় বড় ওস্তাদ তাদের সান্নিধ্য পেয়েছেন আমার অনেক সৌভাগ্য আমি উনাদেরকে কাছে পেয়েছি আমি যেইটুকু নেবার আমি সেটুকু নেবার চেষ্টা করেছি সঙ্গীতটা এমন জিনিস যেটা আসলে শেখার কোনো শেষ নেইে মনে হয়েছে যে আরো কিছু"&amp;" যদি শিখতে পারতাম এরকম সবসময় মনে হয় আরকিসটা")</f>
        <v>চলা শুরু এই তো অনেক আসলে সঙ্গীত শিখাটা আবার শুরুটা আয় যে বড় বড় ওস্তাদ তাদের সান্নিধ্য পেয়েছেন আমার অনেক সৌভাগ্য আমি উনাদেরকে কাছে পেয়েছি আমি যেইটুকু নেবার আমি সেটুকু নেবার চেষ্টা করেছি সঙ্গীতটা এমন জিনিস যেটা আসলে শেখার কোনো শেষ নেইে মনে হয়েছে যে আরো কিছু যদি শিখতে পারতাম এরকম সবসময় মনে হয় আরকিসটা</v>
      </c>
      <c r="D106" s="2" t="str">
        <f>IFERROR(__xludf.DUMMYFUNCTION("""COMPUTED_VALUE"""),"Yes")</f>
        <v>Yes</v>
      </c>
      <c r="E106" s="2" t="str">
        <f>IFERROR(__xludf.DUMMYFUNCTION("""COMPUTED_VALUE"""),"Yes")</f>
        <v>Yes</v>
      </c>
      <c r="F106" s="2" t="str">
        <f>IFERROR(__xludf.DUMMYFUNCTION("""COMPUTED_VALUE"""),"No")</f>
        <v>No</v>
      </c>
      <c r="G106" s="2">
        <f>IFERROR(__xludf.DUMMYFUNCTION("""COMPUTED_VALUE"""),0.5)</f>
        <v>0.5</v>
      </c>
      <c r="H106" s="2">
        <f>IFERROR(__xludf.DUMMYFUNCTION("""COMPUTED_VALUE"""),1.0)</f>
        <v>1</v>
      </c>
      <c r="I106" s="2">
        <f>IFERROR(__xludf.DUMMYFUNCTION("""COMPUTED_VALUE"""),1.0)</f>
        <v>1</v>
      </c>
      <c r="J106" s="2">
        <f>IFERROR(__xludf.DUMMYFUNCTION("""COMPUTED_VALUE"""),1.0)</f>
        <v>1</v>
      </c>
      <c r="K106" s="2" t="str">
        <f>IFERROR(__xludf.DUMMYFUNCTION("""COMPUTED_VALUE"""),"5 – High-quality, Clean Bangla speech")</f>
        <v>5 – High-quality, Clean Bangla speech</v>
      </c>
      <c r="L106" s="2" t="str">
        <f>IFERROR(__xludf.DUMMYFUNCTION("""COMPUTED_VALUE"""),"No")</f>
        <v>No</v>
      </c>
    </row>
    <row r="107">
      <c r="A107" s="2" t="str">
        <f>IFERROR(__xludf.DUMMYFUNCTION("""COMPUTED_VALUE"""),"\collect\read\YouTube\TORONGO\_dUQ4QvI2nc\8ba15a52-887b-4488-a579-15df1ec75a97.flac")</f>
        <v>\collect\read\YouTube\TORONGO\_dUQ4QvI2nc\8ba15a52-887b-4488-a579-15df1ec75a97.flac</v>
      </c>
      <c r="B107" s="2">
        <f>IFERROR(__xludf.DUMMYFUNCTION("""COMPUTED_VALUE"""),30.0)</f>
        <v>30</v>
      </c>
      <c r="C107" s="2" t="str">
        <f>IFERROR(__xludf.DUMMYFUNCTION("""COMPUTED_VALUE"""),"সেতি হবে একটি নতুন মাইলফলক পদ্মা সেতুর জন্য আমরা আজ গর্ব অনুভব করি সেই সাথে ধন্যবাদ দিই আমাদের মাননীয় প্রধানমন্ত্রীকে বন্ধুরা চুল সেই অনন্য অনুভাবে জারিত হয়ে আমরা এখন চলে যাই আজকের মহানগরীর মূল আয়োজনে আতার সাতে করমিনাকতকি তুরি হয়ে ভেজন কর কেন বন্ধুরা আমরা"&amp;" তো কথা শুরু করেছিলাম বাংলার বর্ষাকাল আষাঢ় মাসকে নিয়ে তাই না আমাদের দেশে")</f>
        <v>সেতি হবে একটি নতুন মাইলফলক পদ্মা সেতুর জন্য আমরা আজ গর্ব অনুভব করি সেই সাথে ধন্যবাদ দিই আমাদের মাননীয় প্রধানমন্ত্রীকে বন্ধুরা চুল সেই অনন্য অনুভাবে জারিত হয়ে আমরা এখন চলে যাই আজকের মহানগরীর মূল আয়োজনে আতার সাতে করমিনাকতকি তুরি হয়ে ভেজন কর কেন বন্ধুরা আমরা তো কথা শুরু করেছিলাম বাংলার বর্ষাকাল আষাঢ় মাসকে নিয়ে তাই না আমাদের দেশে</v>
      </c>
      <c r="D107" s="2" t="str">
        <f>IFERROR(__xludf.DUMMYFUNCTION("""COMPUTED_VALUE"""),"Yes")</f>
        <v>Yes</v>
      </c>
      <c r="E107" s="2" t="str">
        <f>IFERROR(__xludf.DUMMYFUNCTION("""COMPUTED_VALUE"""),"No")</f>
        <v>No</v>
      </c>
      <c r="F107" s="2" t="str">
        <f>IFERROR(__xludf.DUMMYFUNCTION("""COMPUTED_VALUE"""),"No")</f>
        <v>No</v>
      </c>
      <c r="G107" s="2">
        <f>IFERROR(__xludf.DUMMYFUNCTION("""COMPUTED_VALUE"""),1.0)</f>
        <v>1</v>
      </c>
      <c r="H107" s="2">
        <f>IFERROR(__xludf.DUMMYFUNCTION("""COMPUTED_VALUE"""),1.0)</f>
        <v>1</v>
      </c>
      <c r="I107" s="2">
        <f>IFERROR(__xludf.DUMMYFUNCTION("""COMPUTED_VALUE"""),1.0)</f>
        <v>1</v>
      </c>
      <c r="J107" s="2">
        <f>IFERROR(__xludf.DUMMYFUNCTION("""COMPUTED_VALUE"""),1.0)</f>
        <v>1</v>
      </c>
      <c r="K107" s="2" t="str">
        <f>IFERROR(__xludf.DUMMYFUNCTION("""COMPUTED_VALUE"""),"5 – High-quality, Clean Bangla speech")</f>
        <v>5 – High-quality, Clean Bangla speech</v>
      </c>
      <c r="L107" s="2" t="str">
        <f>IFERROR(__xludf.DUMMYFUNCTION("""COMPUTED_VALUE"""),"No")</f>
        <v>No</v>
      </c>
    </row>
    <row r="108">
      <c r="A108" s="2" t="str">
        <f>IFERROR(__xludf.DUMMYFUNCTION("""COMPUTED_VALUE"""),"\collect\read\YouTube\TORONGO\_dUQ4QvI2nc\90616f62-aa7f-4cde-9463-968c1afa533f.flac")</f>
        <v>\collect\read\YouTube\TORONGO\_dUQ4QvI2nc\90616f62-aa7f-4cde-9463-968c1afa533f.flac</v>
      </c>
      <c r="B108" s="2">
        <f>IFERROR(__xludf.DUMMYFUNCTION("""COMPUTED_VALUE"""),30.0)</f>
        <v>30</v>
      </c>
      <c r="C108" s="2" t="str">
        <f>IFERROR(__xludf.DUMMYFUNCTION("""COMPUTED_VALUE"""),"পেয়ে যান সাহেব উৎসাহ আরও কয়েকগুণ বেড়ে যায় হেনে নে অনেক তো যে আমিটা এমন আছে আমি কলেজে যখন উঠেছি তখন মানে এক নাগাড়ে সব সময় আমি চ্যাম্পিয়ন হতাম তো জীবনসঙ্গী হিসেবে আপনার কর্তা আপনাকে পেয়েছেন নিঃসন্দেহে একজন লাখী পার্সেন্ট বলতে হবে ভান্বান ব্যক্তি তিনি আর সেই"&amp;" বিয়ের পর থেকেই আপনাকে উৎসাহ অনুপ্রেরণা দিয়ে যাচ্ছেন হয়কি আমাদের দেশের যেই সামাজিক প্রেক্ষাপট তাতে কিন্তু দেখা যায় যে বেশিরভাগশিল্পী")</f>
        <v>পেয়ে যান সাহেব উৎসাহ আরও কয়েকগুণ বেড়ে যায় হেনে নে অনেক তো যে আমিটা এমন আছে আমি কলেজে যখন উঠেছি তখন মানে এক নাগাড়ে সব সময় আমি চ্যাম্পিয়ন হতাম তো জীবনসঙ্গী হিসেবে আপনার কর্তা আপনাকে পেয়েছেন নিঃসন্দেহে একজন লাখী পার্সেন্ট বলতে হবে ভান্বান ব্যক্তি তিনি আর সেই বিয়ের পর থেকেই আপনাকে উৎসাহ অনুপ্রেরণা দিয়ে যাচ্ছেন হয়কি আমাদের দেশের যেই সামাজিক প্রেক্ষাপট তাতে কিন্তু দেখা যায় যে বেশিরভাগশিল্পী</v>
      </c>
      <c r="D108" s="2" t="str">
        <f>IFERROR(__xludf.DUMMYFUNCTION("""COMPUTED_VALUE"""),"Yes")</f>
        <v>Yes</v>
      </c>
      <c r="E108" s="2" t="str">
        <f>IFERROR(__xludf.DUMMYFUNCTION("""COMPUTED_VALUE"""),"No")</f>
        <v>No</v>
      </c>
      <c r="F108" s="2" t="str">
        <f>IFERROR(__xludf.DUMMYFUNCTION("""COMPUTED_VALUE"""),"Yes")</f>
        <v>Yes</v>
      </c>
      <c r="G108" s="2">
        <f>IFERROR(__xludf.DUMMYFUNCTION("""COMPUTED_VALUE"""),1.0)</f>
        <v>1</v>
      </c>
      <c r="H108" s="2">
        <f>IFERROR(__xludf.DUMMYFUNCTION("""COMPUTED_VALUE"""),0.5)</f>
        <v>0.5</v>
      </c>
      <c r="I108" s="2">
        <f>IFERROR(__xludf.DUMMYFUNCTION("""COMPUTED_VALUE"""),0.5)</f>
        <v>0.5</v>
      </c>
      <c r="J108" s="2">
        <f>IFERROR(__xludf.DUMMYFUNCTION("""COMPUTED_VALUE"""),1.0)</f>
        <v>1</v>
      </c>
      <c r="K108" s="2" t="str">
        <f>IFERROR(__xludf.DUMMYFUNCTION("""COMPUTED_VALUE"""),"5 – High-quality, Clean Bangla speech")</f>
        <v>5 – High-quality, Clean Bangla speech</v>
      </c>
      <c r="L108" s="2" t="str">
        <f>IFERROR(__xludf.DUMMYFUNCTION("""COMPUTED_VALUE"""),"No")</f>
        <v>No</v>
      </c>
    </row>
    <row r="109">
      <c r="A109" s="2" t="str">
        <f>IFERROR(__xludf.DUMMYFUNCTION("""COMPUTED_VALUE"""),"\collect\read\YouTube\TORONGO\_dUQ4QvI2nc\96c954d2-b941-4980-b3e7-07b0df8ac3c9.flac")</f>
        <v>\collect\read\YouTube\TORONGO\_dUQ4QvI2nc\96c954d2-b941-4980-b3e7-07b0df8ac3c9.flac</v>
      </c>
      <c r="B109" s="2">
        <f>IFERROR(__xludf.DUMMYFUNCTION("""COMPUTED_VALUE"""),30.0)</f>
        <v>30</v>
      </c>
      <c r="C109" s="2" t="str">
        <f>IFERROR(__xludf.DUMMYFUNCTION("""COMPUTED_VALUE"""),"যে শব্দটি তিনি চয়েন করেন আরবি মওসম এবং মালয়ালাম ভাসায় মানসিং থেকে পরে যা মনসন বা মৌসুম বা বাংলাভাষায় ঋতু হিসেবে ব্যবহৃত হচ্ছে ধারণা করা হয় এ মৌসুমি বায়ু চক্রটির সূত্রপাত হ এক কোটি বিশ লক্ষ বছর পূর্বে মধ্য মায়োসিন ঝুঁকে হিমালয় পর্বতমালার সৃষ্টির সময় থেকে আ"&amp;"ধা বিজ্ঞানীরা বলেছেন আমাদের দেশে প্রতিবছর গ্রীষ্মকাল শেষে মে মাসের মাঝামাঝি থেকে জুন মাসের")</f>
        <v>যে শব্দটি তিনি চয়েন করেন আরবি মওসম এবং মালয়ালাম ভাসায় মানসিং থেকে পরে যা মনসন বা মৌসুম বা বাংলাভাষায় ঋতু হিসেবে ব্যবহৃত হচ্ছে ধারণা করা হয় এ মৌসুমি বায়ু চক্রটির সূত্রপাত হ এক কোটি বিশ লক্ষ বছর পূর্বে মধ্য মায়োসিন ঝুঁকে হিমালয় পর্বতমালার সৃষ্টির সময় থেকে আধা বিজ্ঞানীরা বলেছেন আমাদের দেশে প্রতিবছর গ্রীষ্মকাল শেষে মে মাসের মাঝামাঝি থেকে জুন মাসের</v>
      </c>
      <c r="D109" s="2" t="str">
        <f>IFERROR(__xludf.DUMMYFUNCTION("""COMPUTED_VALUE"""),"Yes")</f>
        <v>Yes</v>
      </c>
      <c r="E109" s="2" t="str">
        <f>IFERROR(__xludf.DUMMYFUNCTION("""COMPUTED_VALUE"""),"Yes")</f>
        <v>Yes</v>
      </c>
      <c r="F109" s="2" t="str">
        <f>IFERROR(__xludf.DUMMYFUNCTION("""COMPUTED_VALUE"""),"No")</f>
        <v>No</v>
      </c>
      <c r="G109" s="2">
        <f>IFERROR(__xludf.DUMMYFUNCTION("""COMPUTED_VALUE"""),0.5)</f>
        <v>0.5</v>
      </c>
      <c r="H109" s="2">
        <f>IFERROR(__xludf.DUMMYFUNCTION("""COMPUTED_VALUE"""),1.0)</f>
        <v>1</v>
      </c>
      <c r="I109" s="2">
        <f>IFERROR(__xludf.DUMMYFUNCTION("""COMPUTED_VALUE"""),0.5)</f>
        <v>0.5</v>
      </c>
      <c r="J109" s="2">
        <f>IFERROR(__xludf.DUMMYFUNCTION("""COMPUTED_VALUE"""),1.0)</f>
        <v>1</v>
      </c>
      <c r="K109" s="2" t="str">
        <f>IFERROR(__xludf.DUMMYFUNCTION("""COMPUTED_VALUE"""),"5 – High-quality, Clean Bangla speech")</f>
        <v>5 – High-quality, Clean Bangla speech</v>
      </c>
      <c r="L109" s="2" t="str">
        <f>IFERROR(__xludf.DUMMYFUNCTION("""COMPUTED_VALUE"""),"No")</f>
        <v>No</v>
      </c>
    </row>
    <row r="110">
      <c r="A110" s="2" t="str">
        <f>IFERROR(__xludf.DUMMYFUNCTION("""COMPUTED_VALUE"""),"\collect\read\YouTube\TORONGO\_dUQ4QvI2nc\996d7161-c5c2-4933-9385-54cbcd22aadc.flac")</f>
        <v>\collect\read\YouTube\TORONGO\_dUQ4QvI2nc\996d7161-c5c2-4933-9385-54cbcd22aadc.flac</v>
      </c>
      <c r="B110" s="2">
        <f>IFERROR(__xludf.DUMMYFUNCTION("""COMPUTED_VALUE"""),30.0)</f>
        <v>30</v>
      </c>
      <c r="C110" s="2" t="str">
        <f>IFERROR(__xludf.DUMMYFUNCTION("""COMPUTED_VALUE"""),"এগুলো আজ তার সাথে আলাপ করছিন চমচমি দেওয়ান সুপ্রিয় স্রোতিপন্থীরা মহানগরের প্রিয় মুখ পর্বে আপনাদের অেককে স্বাগত জানাচ্ছি আজ এ মুহূর্তে আপনাদের হাতে জানতে ইচ্ছে করছে এ পর্বে আজকের আমন্ত্রিত অতিথি কেই আমাদের সাথে হ্যাঁ শ্রোতে বন্ধু আজ এই পর্বে যার সাথে আমরা আ"&amp;"ড্ডায় মাইক্রোফোনের মুখোমুখি হয়েছে তিনি আমাদের দেশের সংগীতাঙ্গনের অত্যন্ত উজ্জ্বল একটি নাম যার প্রতিবার আলো ছড়িয়েছেন সব খানে")</f>
        <v>এগুলো আজ তার সাথে আলাপ করছিন চমচমি দেওয়ান সুপ্রিয় স্রোতিপন্থীরা মহানগরের প্রিয় মুখ পর্বে আপনাদের অেককে স্বাগত জানাচ্ছি আজ এ মুহূর্তে আপনাদের হাতে জানতে ইচ্ছে করছে এ পর্বে আজকের আমন্ত্রিত অতিথি কেই আমাদের সাথে হ্যাঁ শ্রোতে বন্ধু আজ এই পর্বে যার সাথে আমরা আড্ডায় মাইক্রোফোনের মুখোমুখি হয়েছে তিনি আমাদের দেশের সংগীতাঙ্গনের অত্যন্ত উজ্জ্বল একটি নাম যার প্রতিবার আলো ছড়িয়েছেন সব খানে</v>
      </c>
      <c r="D110" s="2" t="str">
        <f>IFERROR(__xludf.DUMMYFUNCTION("""COMPUTED_VALUE"""),"Yes")</f>
        <v>Yes</v>
      </c>
      <c r="E110" s="2" t="str">
        <f>IFERROR(__xludf.DUMMYFUNCTION("""COMPUTED_VALUE"""),"No")</f>
        <v>No</v>
      </c>
      <c r="F110" s="2" t="str">
        <f>IFERROR(__xludf.DUMMYFUNCTION("""COMPUTED_VALUE"""),"Yes")</f>
        <v>Yes</v>
      </c>
      <c r="G110" s="2">
        <f>IFERROR(__xludf.DUMMYFUNCTION("""COMPUTED_VALUE"""),0.5)</f>
        <v>0.5</v>
      </c>
      <c r="H110" s="2">
        <f>IFERROR(__xludf.DUMMYFUNCTION("""COMPUTED_VALUE"""),0.5)</f>
        <v>0.5</v>
      </c>
      <c r="I110" s="2">
        <f>IFERROR(__xludf.DUMMYFUNCTION("""COMPUTED_VALUE"""),0.5)</f>
        <v>0.5</v>
      </c>
      <c r="J110" s="2">
        <f>IFERROR(__xludf.DUMMYFUNCTION("""COMPUTED_VALUE"""),0.5)</f>
        <v>0.5</v>
      </c>
      <c r="K110" s="2" t="str">
        <f>IFERROR(__xludf.DUMMYFUNCTION("""COMPUTED_VALUE"""),"5 – High-quality, Clean Bangla speech")</f>
        <v>5 – High-quality, Clean Bangla speech</v>
      </c>
      <c r="L110" s="2" t="str">
        <f>IFERROR(__xludf.DUMMYFUNCTION("""COMPUTED_VALUE"""),"No")</f>
        <v>No</v>
      </c>
    </row>
    <row r="111">
      <c r="A111" s="2" t="str">
        <f>IFERROR(__xludf.DUMMYFUNCTION("""COMPUTED_VALUE"""),"\collect\read\YouTube\TORONGO\_dUQ4QvI2nc\b405d925-0466-40ab-9cdd-423ffc1ba3d2.flac")</f>
        <v>\collect\read\YouTube\TORONGO\_dUQ4QvI2nc\b405d925-0466-40ab-9cdd-423ffc1ba3d2.flac</v>
      </c>
      <c r="B111" s="2">
        <f>IFERROR(__xludf.DUMMYFUNCTION("""COMPUTED_VALUE"""),30.0)</f>
        <v>30</v>
      </c>
      <c r="C111" s="2" t="str">
        <f>IFERROR(__xludf.DUMMYFUNCTION("""COMPUTED_VALUE"""),"ঈত সব কিছু নিয়ে কেমন আছেন হ্যাঁ আলহাম দলিললাহ ভালো আছি সংগীত শেখাটা কখন থেকে শুরু হয়েছিল কোন সময় থেকে এটা একেবারে ছোটবেলা তখন পাঁচ বছর হবে তখন থেকেই আর কে আমি একটু একটু গান রেডিওতে শুনতাম শুনে শুনে সেটা মানে গাওয়ার চেষ্টা করতাম তো আমার মা প্রথমে এটা লক্ষ্"&amp;"য করলেন জিনিসটা তারপরে আমাকে একজন ওস্তাদের কাছে দিয়েছেন আমার প্রথম হাতেখড়ি হচ্ছে")</f>
        <v>ঈত সব কিছু নিয়ে কেমন আছেন হ্যাঁ আলহাম দলিললাহ ভালো আছি সংগীত শেখাটা কখন থেকে শুরু হয়েছিল কোন সময় থেকে এটা একেবারে ছোটবেলা তখন পাঁচ বছর হবে তখন থেকেই আর কে আমি একটু একটু গান রেডিওতে শুনতাম শুনে শুনে সেটা মানে গাওয়ার চেষ্টা করতাম তো আমার মা প্রথমে এটা লক্ষ্য করলেন জিনিসটা তারপরে আমাকে একজন ওস্তাদের কাছে দিয়েছেন আমার প্রথম হাতেখড়ি হচ্ছে</v>
      </c>
      <c r="D111" s="2" t="str">
        <f>IFERROR(__xludf.DUMMYFUNCTION("""COMPUTED_VALUE"""),"Yes")</f>
        <v>Yes</v>
      </c>
      <c r="E111" s="2" t="str">
        <f>IFERROR(__xludf.DUMMYFUNCTION("""COMPUTED_VALUE"""),"No")</f>
        <v>No</v>
      </c>
      <c r="F111" s="2" t="str">
        <f>IFERROR(__xludf.DUMMYFUNCTION("""COMPUTED_VALUE"""),"No")</f>
        <v>No</v>
      </c>
      <c r="G111" s="2">
        <f>IFERROR(__xludf.DUMMYFUNCTION("""COMPUTED_VALUE"""),1.0)</f>
        <v>1</v>
      </c>
      <c r="H111" s="2">
        <f>IFERROR(__xludf.DUMMYFUNCTION("""COMPUTED_VALUE"""),1.0)</f>
        <v>1</v>
      </c>
      <c r="I111" s="2">
        <f>IFERROR(__xludf.DUMMYFUNCTION("""COMPUTED_VALUE"""),1.0)</f>
        <v>1</v>
      </c>
      <c r="J111" s="2">
        <f>IFERROR(__xludf.DUMMYFUNCTION("""COMPUTED_VALUE"""),1.0)</f>
        <v>1</v>
      </c>
      <c r="K111" s="2" t="str">
        <f>IFERROR(__xludf.DUMMYFUNCTION("""COMPUTED_VALUE"""),"5 – High-quality, Clean Bangla speech")</f>
        <v>5 – High-quality, Clean Bangla speech</v>
      </c>
      <c r="L111" s="2" t="str">
        <f>IFERROR(__xludf.DUMMYFUNCTION("""COMPUTED_VALUE"""),"No")</f>
        <v>No</v>
      </c>
    </row>
    <row r="112">
      <c r="A112" s="2" t="str">
        <f>IFERROR(__xludf.DUMMYFUNCTION("""COMPUTED_VALUE"""),"\collect\read\YouTube\TORONGO\_dUQ4QvI2nc\b7b659af-3bd7-475e-b796-e48e8ec3c70d.flac")</f>
        <v>\collect\read\YouTube\TORONGO\_dUQ4QvI2nc\b7b659af-3bd7-475e-b796-e48e8ec3c70d.flac</v>
      </c>
      <c r="B112" s="2">
        <f>IFERROR(__xludf.DUMMYFUNCTION("""COMPUTED_VALUE"""),30.0)</f>
        <v>30</v>
      </c>
      <c r="C112" s="2" t="str">
        <f>IFERROR(__xludf.DUMMYFUNCTION("""COMPUTED_VALUE"""),"ভয়ত পরবদে ব্যাপারে ক ক করবে ি বিক্তিকর ককা সকর অটে মম কহয় আমনে কী করবে আাদা বেরি স র না দে ক কোটি কোটি বাজালে সোন ভিননে এসেছেল শরীরে স ল ফল বাংলাদেশের দুখত য়ে")</f>
        <v>ভয়ত পরবদে ব্যাপারে ক ক করবে ি বিক্তিকর ককা সকর অটে মম কহয় আমনে কী করবে আাদা বেরি স র না দে ক কোটি কোটি বাজালে সোন ভিননে এসেছেল শরীরে স ল ফল বাংলাদেশের দুখত য়ে</v>
      </c>
      <c r="D112" s="2" t="str">
        <f>IFERROR(__xludf.DUMMYFUNCTION("""COMPUTED_VALUE"""),"No")</f>
        <v>No</v>
      </c>
      <c r="E112" s="2" t="str">
        <f>IFERROR(__xludf.DUMMYFUNCTION("""COMPUTED_VALUE"""),"Yes")</f>
        <v>Yes</v>
      </c>
      <c r="F112" s="2" t="str">
        <f>IFERROR(__xludf.DUMMYFUNCTION("""COMPUTED_VALUE"""),"No")</f>
        <v>No</v>
      </c>
      <c r="G112" s="2">
        <f>IFERROR(__xludf.DUMMYFUNCTION("""COMPUTED_VALUE"""),0.0)</f>
        <v>0</v>
      </c>
      <c r="H112" s="2">
        <f>IFERROR(__xludf.DUMMYFUNCTION("""COMPUTED_VALUE"""),0.0)</f>
        <v>0</v>
      </c>
      <c r="I112" s="2">
        <f>IFERROR(__xludf.DUMMYFUNCTION("""COMPUTED_VALUE"""),0.0)</f>
        <v>0</v>
      </c>
      <c r="J112" s="2">
        <f>IFERROR(__xludf.DUMMYFUNCTION("""COMPUTED_VALUE"""),0.0)</f>
        <v>0</v>
      </c>
      <c r="K112" s="2" t="str">
        <f>IFERROR(__xludf.DUMMYFUNCTION("""COMPUTED_VALUE"""),"5 – High-quality, Clean Bangla speech")</f>
        <v>5 – High-quality, Clean Bangla speech</v>
      </c>
      <c r="L112" s="2" t="str">
        <f>IFERROR(__xludf.DUMMYFUNCTION("""COMPUTED_VALUE"""),"No")</f>
        <v>No</v>
      </c>
    </row>
    <row r="113">
      <c r="A113" s="2" t="str">
        <f>IFERROR(__xludf.DUMMYFUNCTION("""COMPUTED_VALUE"""),"\collect\read\YouTube\TORONGO\_dUQ4QvI2nc\b8950b58-5341-49a3-9db8-1f6029916e7e.flac")</f>
        <v>\collect\read\YouTube\TORONGO\_dUQ4QvI2nc\b8950b58-5341-49a3-9db8-1f6029916e7e.flac</v>
      </c>
      <c r="B113" s="2">
        <f>IFERROR(__xludf.DUMMYFUNCTION("""COMPUTED_VALUE"""),30.0)</f>
        <v>30</v>
      </c>
      <c r="C113" s="2" t="str">
        <f>IFERROR(__xludf.DUMMYFUNCTION("""COMPUTED_VALUE"""),"কে আছেন যারা একটানা তিন মাসেরও অধিক সময় এসব হোটেলে থাকেন যারা একটু বেশি ব্যক্তি স্বাধীনতা চান তাদের জন্য রয়েছে কেবিন এসব হোটেলে মালামাল রাখার ব্যবস্থাও রয়েছে ফলে যেসব লোক দিনে হকারি করেন তারা রাতে মালামাল রেখে শান্তিতে ঘুমাতে পারেন শীত মৌসুম ঈদ ও পূজায় দে"&amp;"শের বিভিন্ন অঞ্চল থেকে নদীপথে অনেক ব্যবসায়ী ঢাকা আসেন তখন সব রুমভারা হয়ে যায় তবে এসব হোটেলে ফেরিওয়ালা ক্ষুদ্র ব্যবসায়ী হকার ফলব্যাপ")</f>
        <v>কে আছেন যারা একটানা তিন মাসেরও অধিক সময় এসব হোটেলে থাকেন যারা একটু বেশি ব্যক্তি স্বাধীনতা চান তাদের জন্য রয়েছে কেবিন এসব হোটেলে মালামাল রাখার ব্যবস্থাও রয়েছে ফলে যেসব লোক দিনে হকারি করেন তারা রাতে মালামাল রেখে শান্তিতে ঘুমাতে পারেন শীত মৌসুম ঈদ ও পূজায় দেশের বিভিন্ন অঞ্চল থেকে নদীপথে অনেক ব্যবসায়ী ঢাকা আসেন তখন সব রুমভারা হয়ে যায় তবে এসব হোটেলে ফেরিওয়ালা ক্ষুদ্র ব্যবসায়ী হকার ফলব্যাপ</v>
      </c>
      <c r="D113" s="2" t="str">
        <f>IFERROR(__xludf.DUMMYFUNCTION("""COMPUTED_VALUE"""),"Yes")</f>
        <v>Yes</v>
      </c>
      <c r="E113" s="2" t="str">
        <f>IFERROR(__xludf.DUMMYFUNCTION("""COMPUTED_VALUE"""),"No")</f>
        <v>No</v>
      </c>
      <c r="F113" s="2" t="str">
        <f>IFERROR(__xludf.DUMMYFUNCTION("""COMPUTED_VALUE"""),"No")</f>
        <v>No</v>
      </c>
      <c r="G113" s="2">
        <f>IFERROR(__xludf.DUMMYFUNCTION("""COMPUTED_VALUE"""),1.0)</f>
        <v>1</v>
      </c>
      <c r="H113" s="2">
        <f>IFERROR(__xludf.DUMMYFUNCTION("""COMPUTED_VALUE"""),1.0)</f>
        <v>1</v>
      </c>
      <c r="I113" s="2">
        <f>IFERROR(__xludf.DUMMYFUNCTION("""COMPUTED_VALUE"""),1.0)</f>
        <v>1</v>
      </c>
      <c r="J113" s="2">
        <f>IFERROR(__xludf.DUMMYFUNCTION("""COMPUTED_VALUE"""),1.0)</f>
        <v>1</v>
      </c>
      <c r="K113" s="2" t="str">
        <f>IFERROR(__xludf.DUMMYFUNCTION("""COMPUTED_VALUE"""),"5 – High-quality, Clean Bangla speech")</f>
        <v>5 – High-quality, Clean Bangla speech</v>
      </c>
      <c r="L113" s="2" t="str">
        <f>IFERROR(__xludf.DUMMYFUNCTION("""COMPUTED_VALUE"""),"No")</f>
        <v>No</v>
      </c>
    </row>
    <row r="114">
      <c r="A114" s="2" t="str">
        <f>IFERROR(__xludf.DUMMYFUNCTION("""COMPUTED_VALUE"""),"\collect\read\YouTube\TORONGO\_dUQ4QvI2nc\bdc0fd0c-d845-4210-911a-cb08f7d261df.flac")</f>
        <v>\collect\read\YouTube\TORONGO\_dUQ4QvI2nc\bdc0fd0c-d845-4210-911a-cb08f7d261df.flac</v>
      </c>
      <c r="B114" s="2">
        <f>IFERROR(__xludf.DUMMYFUNCTION("""COMPUTED_VALUE"""),30.0)</f>
        <v>30</v>
      </c>
      <c r="C114" s="2" t="str">
        <f>IFERROR(__xludf.DUMMYFUNCTION("""COMPUTED_VALUE"""),"উসঋতু আসার পেছন এক প্রাকৃতিক নিয়ামক কাজ করে জার নাম মৌসুমি পাই কারি জলজ বাতাস আমাদের বর্ষাকাল নিয়ে আসি শুধু তাই নয় আমাদের দেশের জলবায়ু অথবা ছয় ঋতুর পরিবর্তনে এই মৌসুমী বায়ের ভূমিকা আর এ কারণে আমাদের দেশকে নিয়ে ভূগোলবিদ্যায় মৌসুমী প্রায় দেশ বলা হয়ে থাকে হ্"&amp;"যালির ধূমকেতু বিশেষজ্ঞ বিশ্ববিখ্যাত ব্রিটিশ জ্যোতির্বিদ এডমিন হ্যালি আঠারো শতকেই প্রথম দিকে এই মৌসুমি শব্দটি ব্যবহার করে")</f>
        <v>উসঋতু আসার পেছন এক প্রাকৃতিক নিয়ামক কাজ করে জার নাম মৌসুমি পাই কারি জলজ বাতাস আমাদের বর্ষাকাল নিয়ে আসি শুধু তাই নয় আমাদের দেশের জলবায়ু অথবা ছয় ঋতুর পরিবর্তনে এই মৌসুমী বায়ের ভূমিকা আর এ কারণে আমাদের দেশকে নিয়ে ভূগোলবিদ্যায় মৌসুমী প্রায় দেশ বলা হয়ে থাকে হ্যালির ধূমকেতু বিশেষজ্ঞ বিশ্ববিখ্যাত ব্রিটিশ জ্যোতির্বিদ এডমিন হ্যালি আঠারো শতকেই প্রথম দিকে এই মৌসুমি শব্দটি ব্যবহার করে</v>
      </c>
      <c r="D114" s="2" t="str">
        <f>IFERROR(__xludf.DUMMYFUNCTION("""COMPUTED_VALUE"""),"Yes")</f>
        <v>Yes</v>
      </c>
      <c r="E114" s="2" t="str">
        <f>IFERROR(__xludf.DUMMYFUNCTION("""COMPUTED_VALUE"""),"Yes")</f>
        <v>Yes</v>
      </c>
      <c r="F114" s="2" t="str">
        <f>IFERROR(__xludf.DUMMYFUNCTION("""COMPUTED_VALUE"""),"No")</f>
        <v>No</v>
      </c>
      <c r="G114" s="2">
        <f>IFERROR(__xludf.DUMMYFUNCTION("""COMPUTED_VALUE"""),0.5)</f>
        <v>0.5</v>
      </c>
      <c r="H114" s="2">
        <f>IFERROR(__xludf.DUMMYFUNCTION("""COMPUTED_VALUE"""),1.0)</f>
        <v>1</v>
      </c>
      <c r="I114" s="2">
        <f>IFERROR(__xludf.DUMMYFUNCTION("""COMPUTED_VALUE"""),1.0)</f>
        <v>1</v>
      </c>
      <c r="J114" s="2">
        <f>IFERROR(__xludf.DUMMYFUNCTION("""COMPUTED_VALUE"""),0.5)</f>
        <v>0.5</v>
      </c>
      <c r="K114" s="2" t="str">
        <f>IFERROR(__xludf.DUMMYFUNCTION("""COMPUTED_VALUE"""),"5 – High-quality, Clean Bangla speech")</f>
        <v>5 – High-quality, Clean Bangla speech</v>
      </c>
      <c r="L114" s="2" t="str">
        <f>IFERROR(__xludf.DUMMYFUNCTION("""COMPUTED_VALUE"""),"No")</f>
        <v>No</v>
      </c>
    </row>
    <row r="115">
      <c r="A115" s="2" t="str">
        <f>IFERROR(__xludf.DUMMYFUNCTION("""COMPUTED_VALUE"""),"\collect\read\YouTube\TORONGO\_dUQ4QvI2nc\be33a8fa-ee5e-46a0-8ae9-70bc63a7cf2a.flac")</f>
        <v>\collect\read\YouTube\TORONGO\_dUQ4QvI2nc\be33a8fa-ee5e-46a0-8ae9-70bc63a7cf2a.flac</v>
      </c>
      <c r="B115" s="2">
        <f>IFERROR(__xludf.DUMMYFUNCTION("""COMPUTED_VALUE"""),30.0)</f>
        <v>30</v>
      </c>
      <c r="C115" s="2" t="str">
        <f>IFERROR(__xludf.DUMMYFUNCTION("""COMPUTED_VALUE"""),"জা নামাল স জ সারটার পতমনে আসেব এ সিক সতে বার পবাথিত কোমা কেথা কিলে যদি মল দুর হয়ে যায় যদি সমই তাওহনে কেছে স কে আা াকি")</f>
        <v>জা নামাল স জ সারটার পতমনে আসেব এ সিক সতে বার পবাথিত কোমা কেথা কিলে যদি মল দুর হয়ে যায় যদি সমই তাওহনে কেছে স কে আা াকি</v>
      </c>
      <c r="D115" s="2" t="str">
        <f>IFERROR(__xludf.DUMMYFUNCTION("""COMPUTED_VALUE"""),"No")</f>
        <v>No</v>
      </c>
      <c r="E115" s="2" t="str">
        <f>IFERROR(__xludf.DUMMYFUNCTION("""COMPUTED_VALUE"""),"Yes")</f>
        <v>Yes</v>
      </c>
      <c r="F115" s="2" t="str">
        <f>IFERROR(__xludf.DUMMYFUNCTION("""COMPUTED_VALUE"""),"No")</f>
        <v>No</v>
      </c>
      <c r="G115" s="2">
        <f>IFERROR(__xludf.DUMMYFUNCTION("""COMPUTED_VALUE"""),0.0)</f>
        <v>0</v>
      </c>
      <c r="H115" s="2">
        <f>IFERROR(__xludf.DUMMYFUNCTION("""COMPUTED_VALUE"""),0.0)</f>
        <v>0</v>
      </c>
      <c r="I115" s="2">
        <f>IFERROR(__xludf.DUMMYFUNCTION("""COMPUTED_VALUE"""),0.0)</f>
        <v>0</v>
      </c>
      <c r="J115" s="2">
        <f>IFERROR(__xludf.DUMMYFUNCTION("""COMPUTED_VALUE"""),0.0)</f>
        <v>0</v>
      </c>
      <c r="K115" s="2" t="str">
        <f>IFERROR(__xludf.DUMMYFUNCTION("""COMPUTED_VALUE"""),"5 – High-quality, Clean Bangla speech")</f>
        <v>5 – High-quality, Clean Bangla speech</v>
      </c>
      <c r="L115" s="2" t="str">
        <f>IFERROR(__xludf.DUMMYFUNCTION("""COMPUTED_VALUE"""),"No")</f>
        <v>No</v>
      </c>
    </row>
    <row r="116">
      <c r="A116" s="2" t="str">
        <f>IFERROR(__xludf.DUMMYFUNCTION("""COMPUTED_VALUE"""),"\collect\read\YouTube\TORONGO\_dUQ4QvI2nc\bfc9af1e-b110-42ea-8d9d-36e7d17be449.flac")</f>
        <v>\collect\read\YouTube\TORONGO\_dUQ4QvI2nc\bfc9af1e-b110-42ea-8d9d-36e7d17be449.flac</v>
      </c>
      <c r="B116" s="2">
        <f>IFERROR(__xludf.DUMMYFUNCTION("""COMPUTED_VALUE"""),30.0)</f>
        <v>30</v>
      </c>
      <c r="C116" s="2" t="str">
        <f>IFERROR(__xludf.DUMMYFUNCTION("""COMPUTED_VALUE"""),"ঠা দোলুন চাঁপা আরো কত ফুলের সুবাস ভেসে বেড়াবে করম চাপাতার বনেও আনবে অন্য আয়োজন উপচেয়ে পড়া পদ্মপুকুর রঙিন হয়ে উঠবে বর্ষাকে পাবার জন্য হবে কেয়ার বনে কেতকীর মাতামাতি কেউ কারো যে পিছিয়ে থাকবে না আনন্দউল্লাহ সে মেতে উঠবে প্রকৃতি কারণ একটি আবার এসেছি আশার আরে আ"&amp;"কাশ হচ্ছে বারে শিেছে ছাা আষাট আকাশ ও ছে")</f>
        <v>ঠা দোলুন চাঁপা আরো কত ফুলের সুবাস ভেসে বেড়াবে করম চাপাতার বনেও আনবে অন্য আয়োজন উপচেয়ে পড়া পদ্মপুকুর রঙিন হয়ে উঠবে বর্ষাকে পাবার জন্য হবে কেয়ার বনে কেতকীর মাতামাতি কেউ কারো যে পিছিয়ে থাকবে না আনন্দউল্লাহ সে মেতে উঠবে প্রকৃতি কারণ একটি আবার এসেছি আশার আরে আকাশ হচ্ছে বারে শিেছে ছাা আষাট আকাশ ও ছে</v>
      </c>
      <c r="D116" s="2" t="str">
        <f>IFERROR(__xludf.DUMMYFUNCTION("""COMPUTED_VALUE"""),"Yes")</f>
        <v>Yes</v>
      </c>
      <c r="E116" s="2" t="str">
        <f>IFERROR(__xludf.DUMMYFUNCTION("""COMPUTED_VALUE"""),"No")</f>
        <v>No</v>
      </c>
      <c r="F116" s="2" t="str">
        <f>IFERROR(__xludf.DUMMYFUNCTION("""COMPUTED_VALUE"""),"Yes")</f>
        <v>Yes</v>
      </c>
      <c r="G116" s="2">
        <f>IFERROR(__xludf.DUMMYFUNCTION("""COMPUTED_VALUE"""),0.5)</f>
        <v>0.5</v>
      </c>
      <c r="H116" s="2">
        <f>IFERROR(__xludf.DUMMYFUNCTION("""COMPUTED_VALUE"""),1.0)</f>
        <v>1</v>
      </c>
      <c r="I116" s="2">
        <f>IFERROR(__xludf.DUMMYFUNCTION("""COMPUTED_VALUE"""),1.0)</f>
        <v>1</v>
      </c>
      <c r="J116" s="2">
        <f>IFERROR(__xludf.DUMMYFUNCTION("""COMPUTED_VALUE"""),1.0)</f>
        <v>1</v>
      </c>
      <c r="K116" s="2" t="str">
        <f>IFERROR(__xludf.DUMMYFUNCTION("""COMPUTED_VALUE"""),"5 – High-quality, Clean Bangla speech")</f>
        <v>5 – High-quality, Clean Bangla speech</v>
      </c>
      <c r="L116" s="2" t="str">
        <f>IFERROR(__xludf.DUMMYFUNCTION("""COMPUTED_VALUE"""),"No")</f>
        <v>No</v>
      </c>
    </row>
    <row r="117">
      <c r="A117" s="2" t="str">
        <f>IFERROR(__xludf.DUMMYFUNCTION("""COMPUTED_VALUE"""),"\collect\read\YouTube\TORONGO\_dUQ4QvI2nc\c3c475da-ad60-4297-8af1-657039243969.flac")</f>
        <v>\collect\read\YouTube\TORONGO\_dUQ4QvI2nc\c3c475da-ad60-4297-8af1-657039243969.flac</v>
      </c>
      <c r="B117" s="2">
        <f>IFERROR(__xludf.DUMMYFUNCTION("""COMPUTED_VALUE"""),30.0)</f>
        <v>30</v>
      </c>
      <c r="C117" s="2" t="str">
        <f>IFERROR(__xludf.DUMMYFUNCTION("""COMPUTED_VALUE"""),"এই সে ঘুরে বের হয়ে গেছো আসে দিষ্টি তস্যু বাস বাতাস বে হাবা ভার সেছে আ আশা আমার আকাশ ও ছিড় আসে দিষ্টি থ সুবাস বাতাস বেখাবার")</f>
        <v>এই সে ঘুরে বের হয়ে গেছো আসে দিষ্টি তস্যু বাস বাতাস বে হাবা ভার সেছে আ আশা আমার আকাশ ও ছিড় আসে দিষ্টি থ সুবাস বাতাস বেখাবার</v>
      </c>
      <c r="D117" s="2" t="str">
        <f>IFERROR(__xludf.DUMMYFUNCTION("""COMPUTED_VALUE"""),"No")</f>
        <v>No</v>
      </c>
      <c r="E117" s="2" t="str">
        <f>IFERROR(__xludf.DUMMYFUNCTION("""COMPUTED_VALUE"""),"Yes")</f>
        <v>Yes</v>
      </c>
      <c r="F117" s="2" t="str">
        <f>IFERROR(__xludf.DUMMYFUNCTION("""COMPUTED_VALUE"""),"No")</f>
        <v>No</v>
      </c>
      <c r="G117" s="2">
        <f>IFERROR(__xludf.DUMMYFUNCTION("""COMPUTED_VALUE"""),0.0)</f>
        <v>0</v>
      </c>
      <c r="H117" s="2">
        <f>IFERROR(__xludf.DUMMYFUNCTION("""COMPUTED_VALUE"""),0.0)</f>
        <v>0</v>
      </c>
      <c r="I117" s="2">
        <f>IFERROR(__xludf.DUMMYFUNCTION("""COMPUTED_VALUE"""),0.0)</f>
        <v>0</v>
      </c>
      <c r="J117" s="2">
        <f>IFERROR(__xludf.DUMMYFUNCTION("""COMPUTED_VALUE"""),0.0)</f>
        <v>0</v>
      </c>
      <c r="K117" s="2" t="str">
        <f>IFERROR(__xludf.DUMMYFUNCTION("""COMPUTED_VALUE"""),"5 – High-quality, Clean Bangla speech")</f>
        <v>5 – High-quality, Clean Bangla speech</v>
      </c>
      <c r="L117" s="2" t="str">
        <f>IFERROR(__xludf.DUMMYFUNCTION("""COMPUTED_VALUE"""),"No")</f>
        <v>No</v>
      </c>
    </row>
    <row r="118">
      <c r="A118" s="2" t="str">
        <f>IFERROR(__xludf.DUMMYFUNCTION("""COMPUTED_VALUE"""),"\collect\read\YouTube\TORONGO\_dUQ4QvI2nc\cf84979d-b80a-4e9f-80cd-83252d320b61.flac")</f>
        <v>\collect\read\YouTube\TORONGO\_dUQ4QvI2nc\cf84979d-b80a-4e9f-80cd-83252d320b61.flac</v>
      </c>
      <c r="B118" s="2">
        <f>IFERROR(__xludf.DUMMYFUNCTION("""COMPUTED_VALUE"""),30.0)</f>
        <v>30</v>
      </c>
      <c r="C118" s="2" t="str">
        <f>IFERROR(__xludf.DUMMYFUNCTION("""COMPUTED_VALUE"""),"বাহ ত বুনছি এ এে পয়ে যদি কোনদি জনন াজালে ঢাকা মধুসময়ে তা নের কাছে প্া ত ক তার হাত দি ালে ছে কে ক কনে সেদিন র")</f>
        <v>বাহ ত বুনছি এ এে পয়ে যদি কোনদি জনন াজালে ঢাকা মধুসময়ে তা নের কাছে প্া ত ক তার হাত দি ালে ছে কে ক কনে সেদিন র</v>
      </c>
      <c r="D118" s="2" t="str">
        <f>IFERROR(__xludf.DUMMYFUNCTION("""COMPUTED_VALUE"""),"No")</f>
        <v>No</v>
      </c>
      <c r="E118" s="2" t="str">
        <f>IFERROR(__xludf.DUMMYFUNCTION("""COMPUTED_VALUE"""),"Yes")</f>
        <v>Yes</v>
      </c>
      <c r="F118" s="2" t="str">
        <f>IFERROR(__xludf.DUMMYFUNCTION("""COMPUTED_VALUE"""),"No")</f>
        <v>No</v>
      </c>
      <c r="G118" s="2">
        <f>IFERROR(__xludf.DUMMYFUNCTION("""COMPUTED_VALUE"""),0.0)</f>
        <v>0</v>
      </c>
      <c r="H118" s="2">
        <f>IFERROR(__xludf.DUMMYFUNCTION("""COMPUTED_VALUE"""),0.0)</f>
        <v>0</v>
      </c>
      <c r="I118" s="2">
        <f>IFERROR(__xludf.DUMMYFUNCTION("""COMPUTED_VALUE"""),0.0)</f>
        <v>0</v>
      </c>
      <c r="J118" s="2">
        <f>IFERROR(__xludf.DUMMYFUNCTION("""COMPUTED_VALUE"""),0.0)</f>
        <v>0</v>
      </c>
      <c r="K118" s="2" t="str">
        <f>IFERROR(__xludf.DUMMYFUNCTION("""COMPUTED_VALUE"""),"5 – High-quality, Clean Bangla speech")</f>
        <v>5 – High-quality, Clean Bangla speech</v>
      </c>
      <c r="L118" s="2" t="str">
        <f>IFERROR(__xludf.DUMMYFUNCTION("""COMPUTED_VALUE"""),"No")</f>
        <v>No</v>
      </c>
    </row>
    <row r="119">
      <c r="A119" s="2" t="str">
        <f>IFERROR(__xludf.DUMMYFUNCTION("""COMPUTED_VALUE"""),"\collect\read\YouTube\TORONGO\_dUQ4QvI2nc\d0cbb367-ed18-46f6-a22a-4fad89647cf8.flac")</f>
        <v>\collect\read\YouTube\TORONGO\_dUQ4QvI2nc\d0cbb367-ed18-46f6-a22a-4fad89647cf8.flac</v>
      </c>
      <c r="B119" s="2">
        <f>IFERROR(__xludf.DUMMYFUNCTION("""COMPUTED_VALUE"""),30.0)</f>
        <v>30</v>
      </c>
      <c r="C119" s="2" t="str">
        <f>IFERROR(__xludf.DUMMYFUNCTION("""COMPUTED_VALUE"""),"বুড়িগঙ্গা বোর্ডিং শরীয়তপুর বোর্ডিং ওজালা বোর্ডিং এবং বাকি দুটোর কোন নাম নেই প্রতিটিতে রয়েছে ত্রিশ থেকে পঞ্চাশটির মতো কেবিন প্রতিটি কেবিনে রয়েছে বিদ্যুতের ব্যবস্থা আছে লাইট টু প্যান রয়েছে রাজযাপনের আনুষঙ্গিক বেটিং পত্র এই ব্যবস্থাটুকুই এখানে রাতযাপনকারী শ্"&amp;"রমিকদের কাছে অনেক বড় পাওয়া একসঙ্গেই প্রায় চল্লিশ জনের মতো অতিথি রুমভেদে স্বল্প মূল্যে থাকতে পারেন এই হোটেলে আবার এমন অনেক")</f>
        <v>বুড়িগঙ্গা বোর্ডিং শরীয়তপুর বোর্ডিং ওজালা বোর্ডিং এবং বাকি দুটোর কোন নাম নেই প্রতিটিতে রয়েছে ত্রিশ থেকে পঞ্চাশটির মতো কেবিন প্রতিটি কেবিনে রয়েছে বিদ্যুতের ব্যবস্থা আছে লাইট টু প্যান রয়েছে রাজযাপনের আনুষঙ্গিক বেটিং পত্র এই ব্যবস্থাটুকুই এখানে রাতযাপনকারী শ্রমিকদের কাছে অনেক বড় পাওয়া একসঙ্গেই প্রায় চল্লিশ জনের মতো অতিথি রুমভেদে স্বল্প মূল্যে থাকতে পারেন এই হোটেলে আবার এমন অনেক</v>
      </c>
      <c r="D119" s="2" t="str">
        <f>IFERROR(__xludf.DUMMYFUNCTION("""COMPUTED_VALUE"""),"Yes")</f>
        <v>Yes</v>
      </c>
      <c r="E119" s="2" t="str">
        <f>IFERROR(__xludf.DUMMYFUNCTION("""COMPUTED_VALUE"""),"No")</f>
        <v>No</v>
      </c>
      <c r="F119" s="2" t="str">
        <f>IFERROR(__xludf.DUMMYFUNCTION("""COMPUTED_VALUE"""),"Yes")</f>
        <v>Yes</v>
      </c>
      <c r="G119" s="2">
        <f>IFERROR(__xludf.DUMMYFUNCTION("""COMPUTED_VALUE"""),1.0)</f>
        <v>1</v>
      </c>
      <c r="H119" s="2">
        <f>IFERROR(__xludf.DUMMYFUNCTION("""COMPUTED_VALUE"""),1.0)</f>
        <v>1</v>
      </c>
      <c r="I119" s="2">
        <f>IFERROR(__xludf.DUMMYFUNCTION("""COMPUTED_VALUE"""),1.0)</f>
        <v>1</v>
      </c>
      <c r="J119" s="2">
        <f>IFERROR(__xludf.DUMMYFUNCTION("""COMPUTED_VALUE"""),1.0)</f>
        <v>1</v>
      </c>
      <c r="K119" s="2" t="str">
        <f>IFERROR(__xludf.DUMMYFUNCTION("""COMPUTED_VALUE"""),"5 – High-quality, Clean Bangla speech")</f>
        <v>5 – High-quality, Clean Bangla speech</v>
      </c>
      <c r="L119" s="2" t="str">
        <f>IFERROR(__xludf.DUMMYFUNCTION("""COMPUTED_VALUE"""),"No")</f>
        <v>No</v>
      </c>
    </row>
    <row r="120">
      <c r="A120" s="2" t="str">
        <f>IFERROR(__xludf.DUMMYFUNCTION("""COMPUTED_VALUE"""),"\collect\read\YouTube\TORONGO\_dUQ4QvI2nc\dd09da31-df2c-457e-a6e6-9d40b038a88b.flac")</f>
        <v>\collect\read\YouTube\TORONGO\_dUQ4QvI2nc\dd09da31-df2c-457e-a6e6-9d40b038a88b.flac</v>
      </c>
      <c r="B120" s="2">
        <f>IFERROR(__xludf.DUMMYFUNCTION("""COMPUTED_VALUE"""),30.0)</f>
        <v>30</v>
      </c>
      <c r="C120" s="2" t="str">
        <f>IFERROR(__xludf.DUMMYFUNCTION("""COMPUTED_VALUE"""),"শেষ হয়ে এলো তাই বলি দেশে বর্ষাকাল শুরু হয়েছে আর বৃষ্টিতে ভিজতে কার না ভালো লাগে কেউ শখ করে কেউ বাবা কাজের জন্য বাধ্য হয়ে বৃষ্টিতে ভিজতে হয়ে আমি মনে রাখবেন বন্ধুরা যেভাবেই হোক না কেন এই বৃষ্টির পানিতে জ্বর হাঁচি কাশি সর্দি মাথাব্যথা বুকে ব্যথা শ্বাসকষ্ট এগ"&amp;"ুলো আসবে যাতে রোগ প্রতিরোধ ক্ষমতা কম বিশেষভাবে ডায়াবেটিস ও কিডনি রোগের শিশু এবং বয়স্করা সহজেই বিভিন্ন রোগে আক্রান্ত হতে পারে রোগ প্রতিরোধ ক্ষমতা বাড়াতে শিশুদের এবং বয়স্ক রোগীদের জন্য বিশেষ ব্যবস্থা নিতে হব")</f>
        <v>শেষ হয়ে এলো তাই বলি দেশে বর্ষাকাল শুরু হয়েছে আর বৃষ্টিতে ভিজতে কার না ভালো লাগে কেউ শখ করে কেউ বাবা কাজের জন্য বাধ্য হয়ে বৃষ্টিতে ভিজতে হয়ে আমি মনে রাখবেন বন্ধুরা যেভাবেই হোক না কেন এই বৃষ্টির পানিতে জ্বর হাঁচি কাশি সর্দি মাথাব্যথা বুকে ব্যথা শ্বাসকষ্ট এগুলো আসবে যাতে রোগ প্রতিরোধ ক্ষমতা কম বিশেষভাবে ডায়াবেটিস ও কিডনি রোগের শিশু এবং বয়স্করা সহজেই বিভিন্ন রোগে আক্রান্ত হতে পারে রোগ প্রতিরোধ ক্ষমতা বাড়াতে শিশুদের এবং বয়স্ক রোগীদের জন্য বিশেষ ব্যবস্থা নিতে হব</v>
      </c>
      <c r="D120" s="2" t="str">
        <f>IFERROR(__xludf.DUMMYFUNCTION("""COMPUTED_VALUE"""),"Yes")</f>
        <v>Yes</v>
      </c>
      <c r="E120" s="2" t="str">
        <f>IFERROR(__xludf.DUMMYFUNCTION("""COMPUTED_VALUE"""),"No")</f>
        <v>No</v>
      </c>
      <c r="F120" s="2" t="str">
        <f>IFERROR(__xludf.DUMMYFUNCTION("""COMPUTED_VALUE"""),"No")</f>
        <v>No</v>
      </c>
      <c r="G120" s="2">
        <f>IFERROR(__xludf.DUMMYFUNCTION("""COMPUTED_VALUE"""),1.0)</f>
        <v>1</v>
      </c>
      <c r="H120" s="2">
        <f>IFERROR(__xludf.DUMMYFUNCTION("""COMPUTED_VALUE"""),1.0)</f>
        <v>1</v>
      </c>
      <c r="I120" s="2">
        <f>IFERROR(__xludf.DUMMYFUNCTION("""COMPUTED_VALUE"""),1.0)</f>
        <v>1</v>
      </c>
      <c r="J120" s="2">
        <f>IFERROR(__xludf.DUMMYFUNCTION("""COMPUTED_VALUE"""),1.0)</f>
        <v>1</v>
      </c>
      <c r="K120" s="2" t="str">
        <f>IFERROR(__xludf.DUMMYFUNCTION("""COMPUTED_VALUE"""),"5 – High-quality, Clean Bangla speech")</f>
        <v>5 – High-quality, Clean Bangla speech</v>
      </c>
      <c r="L120" s="2" t="str">
        <f>IFERROR(__xludf.DUMMYFUNCTION("""COMPUTED_VALUE"""),"No")</f>
        <v>No</v>
      </c>
    </row>
    <row r="121">
      <c r="A121" s="2" t="str">
        <f>IFERROR(__xludf.DUMMYFUNCTION("""COMPUTED_VALUE"""),"\collect\read\YouTube\TORONGO\_dUQ4QvI2nc\f645fed9-f946-4ed5-9741-72f80132b425.flac")</f>
        <v>\collect\read\YouTube\TORONGO\_dUQ4QvI2nc\f645fed9-f946-4ed5-9741-72f80132b425.flac</v>
      </c>
      <c r="B121" s="2">
        <f>IFERROR(__xludf.DUMMYFUNCTION("""COMPUTED_VALUE"""),30.0)</f>
        <v>30</v>
      </c>
      <c r="C121" s="2" t="str">
        <f>IFERROR(__xludf.DUMMYFUNCTION("""COMPUTED_VALUE"""),"কারণেই বন্ধুরা এই পদ্মা সেতু এক সুতোয় গাঁধফি দেশের দক্ষিণ পশ্চিমাঞ্চলসহ বাংলাদেশের বিশাল জনগোষ্ঠীকে এই স্বপ্ন পূরণ হচ্ছে আমাদের মাননীয় প্রধানমন্ত্রী শেখ হাসিনার একুব প্রচেষ্টায় দেশি বিদেশী নানা ষড়যন্ত্র উপেক্ষা করি তারই সাহসী পদক্ষেপে সম্পূর্ণ নিজস্ব অর্থ"&amp;"ায়নে নির্মিত হচ্ছে এই পদ্মা সেতু তাই তো দক্ষিণের ঘরে ঘরে এখন প্রধানমন্ত্রীর বন্দনা সেতুর মাধ্যমেই যোগাযোগ")</f>
        <v>কারণেই বন্ধুরা এই পদ্মা সেতু এক সুতোয় গাঁধফি দেশের দক্ষিণ পশ্চিমাঞ্চলসহ বাংলাদেশের বিশাল জনগোষ্ঠীকে এই স্বপ্ন পূরণ হচ্ছে আমাদের মাননীয় প্রধানমন্ত্রী শেখ হাসিনার একুব প্রচেষ্টায় দেশি বিদেশী নানা ষড়যন্ত্র উপেক্ষা করি তারই সাহসী পদক্ষেপে সম্পূর্ণ নিজস্ব অর্থায়নে নির্মিত হচ্ছে এই পদ্মা সেতু তাই তো দক্ষিণের ঘরে ঘরে এখন প্রধানমন্ত্রীর বন্দনা সেতুর মাধ্যমেই যোগাযোগ</v>
      </c>
      <c r="D121" s="2" t="str">
        <f>IFERROR(__xludf.DUMMYFUNCTION("""COMPUTED_VALUE"""),"Yes")</f>
        <v>Yes</v>
      </c>
      <c r="E121" s="2" t="str">
        <f>IFERROR(__xludf.DUMMYFUNCTION("""COMPUTED_VALUE"""),"No")</f>
        <v>No</v>
      </c>
      <c r="F121" s="2" t="str">
        <f>IFERROR(__xludf.DUMMYFUNCTION("""COMPUTED_VALUE"""),"Yes")</f>
        <v>Yes</v>
      </c>
      <c r="G121" s="2">
        <f>IFERROR(__xludf.DUMMYFUNCTION("""COMPUTED_VALUE"""),1.0)</f>
        <v>1</v>
      </c>
      <c r="H121" s="2">
        <f>IFERROR(__xludf.DUMMYFUNCTION("""COMPUTED_VALUE"""),1.0)</f>
        <v>1</v>
      </c>
      <c r="I121" s="2">
        <f>IFERROR(__xludf.DUMMYFUNCTION("""COMPUTED_VALUE"""),1.0)</f>
        <v>1</v>
      </c>
      <c r="J121" s="2">
        <f>IFERROR(__xludf.DUMMYFUNCTION("""COMPUTED_VALUE"""),1.0)</f>
        <v>1</v>
      </c>
      <c r="K121" s="2" t="str">
        <f>IFERROR(__xludf.DUMMYFUNCTION("""COMPUTED_VALUE"""),"5 – High-quality, Clean Bangla speech")</f>
        <v>5 – High-quality, Clean Bangla speech</v>
      </c>
      <c r="L121" s="2" t="str">
        <f>IFERROR(__xludf.DUMMYFUNCTION("""COMPUTED_VALUE"""),"No")</f>
        <v>No</v>
      </c>
    </row>
    <row r="122">
      <c r="A122" s="2" t="str">
        <f>IFERROR(__xludf.DUMMYFUNCTION("""COMPUTED_VALUE"""),"\collect\read\YouTube\TORONGO\_hMXloZOEiw\f83b070e-a5c5-4fc2-9867-d2f29f2d1ddb.flac")</f>
        <v>\collect\read\YouTube\TORONGO\_hMXloZOEiw\f83b070e-a5c5-4fc2-9867-d2f29f2d1ddb.flac</v>
      </c>
      <c r="B122" s="2">
        <f>IFERROR(__xludf.DUMMYFUNCTION("""COMPUTED_VALUE"""),30.0)</f>
        <v>30</v>
      </c>
      <c r="C122" s="2" t="str">
        <f>IFERROR(__xludf.DUMMYFUNCTION("""COMPUTED_VALUE"""),"করার পর পঁচিশে জানুয়ারি উনিশশো তেষট্টি সাল শুক্রবার প্রথমবারের জন্য এখানে নামাজ পড়া হয় এর স্থাপত্যশৈলী অত্যন্ত সুন্দর শুরুতে এই মসজিদ একসাথে ত্রিশ হাজার মুসল্লি নামাজ আদায় করতে পারত সেই হিসেবে ধারণক্ষমতার দিক দিয়ে এটি পৃথিবীর দশম বৃহত্তম মসজিদ এ মসজিদটিতে"&amp;" জুমমার নামাজ ছাড়াও বিশেষত রমজানের সময় অনেক নামাজীরা আসে বলে পরবর্তীতে মসজিদের ধারণ ক্ষমতা চল্লিশ হাজারে উন্নীত করা হয়")</f>
        <v>করার পর পঁচিশে জানুয়ারি উনিশশো তেষট্টি সাল শুক্রবার প্রথমবারের জন্য এখানে নামাজ পড়া হয় এর স্থাপত্যশৈলী অত্যন্ত সুন্দর শুরুতে এই মসজিদ একসাথে ত্রিশ হাজার মুসল্লি নামাজ আদায় করতে পারত সেই হিসেবে ধারণক্ষমতার দিক দিয়ে এটি পৃথিবীর দশম বৃহত্তম মসজিদ এ মসজিদটিতে জুমমার নামাজ ছাড়াও বিশেষত রমজানের সময় অনেক নামাজীরা আসে বলে পরবর্তীতে মসজিদের ধারণ ক্ষমতা চল্লিশ হাজারে উন্নীত করা হয়</v>
      </c>
      <c r="D122" s="2" t="str">
        <f>IFERROR(__xludf.DUMMYFUNCTION("""COMPUTED_VALUE"""),"Yes")</f>
        <v>Yes</v>
      </c>
      <c r="E122" s="2" t="str">
        <f>IFERROR(__xludf.DUMMYFUNCTION("""COMPUTED_VALUE"""),"No")</f>
        <v>No</v>
      </c>
      <c r="F122" s="2" t="str">
        <f>IFERROR(__xludf.DUMMYFUNCTION("""COMPUTED_VALUE"""),"No")</f>
        <v>No</v>
      </c>
      <c r="G122" s="2">
        <f>IFERROR(__xludf.DUMMYFUNCTION("""COMPUTED_VALUE"""),1.0)</f>
        <v>1</v>
      </c>
      <c r="H122" s="2">
        <f>IFERROR(__xludf.DUMMYFUNCTION("""COMPUTED_VALUE"""),1.0)</f>
        <v>1</v>
      </c>
      <c r="I122" s="2">
        <f>IFERROR(__xludf.DUMMYFUNCTION("""COMPUTED_VALUE"""),1.0)</f>
        <v>1</v>
      </c>
      <c r="J122" s="2">
        <f>IFERROR(__xludf.DUMMYFUNCTION("""COMPUTED_VALUE"""),1.0)</f>
        <v>1</v>
      </c>
      <c r="K122" s="2" t="str">
        <f>IFERROR(__xludf.DUMMYFUNCTION("""COMPUTED_VALUE"""),"5 – High-quality, Clean Bangla speech")</f>
        <v>5 – High-quality, Clean Bangla speech</v>
      </c>
      <c r="L122" s="2" t="str">
        <f>IFERROR(__xludf.DUMMYFUNCTION("""COMPUTED_VALUE"""),"No")</f>
        <v>No</v>
      </c>
    </row>
    <row r="123">
      <c r="A123" s="2" t="str">
        <f>IFERROR(__xludf.DUMMYFUNCTION("""COMPUTED_VALUE"""),"\collect\read\YouTube\TORONGO\_hMXloZOEiw\0777d3b1-5b92-49e9-a550-21f2943f970d.flac")</f>
        <v>\collect\read\YouTube\TORONGO\_hMXloZOEiw\0777d3b1-5b92-49e9-a550-21f2943f970d.flac</v>
      </c>
      <c r="B123" s="2">
        <f>IFERROR(__xludf.DUMMYFUNCTION("""COMPUTED_VALUE"""),30.0)</f>
        <v>30</v>
      </c>
      <c r="C123" s="2" t="str">
        <f>IFERROR(__xludf.DUMMYFUNCTION("""COMPUTED_VALUE"""),"আা গ্রন্থ থেকে পাঁচজন তো চট্টোপাধ্যায়ের উচ্চারণী যে গ্রন্থটি লিখেছেন আমাদের জাতির পিতা বঙ্গবন্ধু শেখ মুজিবুর উনিশশো ছেষট্টি সালে ঐতিহাসিক ছয় দফা উত্থাপনের পর ওবছরের প্রথম তিন মাসে বঙ্গবন্ধু মোট আটবার গ্রেপ্তার হয়ে জামিন পান সর্বশেষ আতটি মে আবার গ্রেপ্তার "&amp;"হন কারাগারের রোজনামচায় মূলত তাঁর ওই সময়ের কারাজীবনের তিনলিপি এই বইটির নাম দিয়েছেন বঙ্গবন্ধু কন্যা শেখ রেহানা বীরেশ্রোতা ধারাবাহিকভাবে এমনকি")</f>
        <v>আা গ্রন্থ থেকে পাঁচজন তো চট্টোপাধ্যায়ের উচ্চারণী যে গ্রন্থটি লিখেছেন আমাদের জাতির পিতা বঙ্গবন্ধু শেখ মুজিবুর উনিশশো ছেষট্টি সালে ঐতিহাসিক ছয় দফা উত্থাপনের পর ওবছরের প্রথম তিন মাসে বঙ্গবন্ধু মোট আটবার গ্রেপ্তার হয়ে জামিন পান সর্বশেষ আতটি মে আবার গ্রেপ্তার হন কারাগারের রোজনামচায় মূলত তাঁর ওই সময়ের কারাজীবনের তিনলিপি এই বইটির নাম দিয়েছেন বঙ্গবন্ধু কন্যা শেখ রেহানা বীরেশ্রোতা ধারাবাহিকভাবে এমনকি</v>
      </c>
      <c r="D123" s="2" t="str">
        <f>IFERROR(__xludf.DUMMYFUNCTION("""COMPUTED_VALUE"""),"Yes")</f>
        <v>Yes</v>
      </c>
      <c r="E123" s="2" t="str">
        <f>IFERROR(__xludf.DUMMYFUNCTION("""COMPUTED_VALUE"""),"Yes")</f>
        <v>Yes</v>
      </c>
      <c r="F123" s="2" t="str">
        <f>IFERROR(__xludf.DUMMYFUNCTION("""COMPUTED_VALUE"""),"Yes")</f>
        <v>Yes</v>
      </c>
      <c r="G123" s="2">
        <f>IFERROR(__xludf.DUMMYFUNCTION("""COMPUTED_VALUE"""),0.5)</f>
        <v>0.5</v>
      </c>
      <c r="H123" s="2">
        <f>IFERROR(__xludf.DUMMYFUNCTION("""COMPUTED_VALUE"""),0.5)</f>
        <v>0.5</v>
      </c>
      <c r="I123" s="2">
        <f>IFERROR(__xludf.DUMMYFUNCTION("""COMPUTED_VALUE"""),0.5)</f>
        <v>0.5</v>
      </c>
      <c r="J123" s="2">
        <f>IFERROR(__xludf.DUMMYFUNCTION("""COMPUTED_VALUE"""),1.0)</f>
        <v>1</v>
      </c>
      <c r="K123" s="2" t="str">
        <f>IFERROR(__xludf.DUMMYFUNCTION("""COMPUTED_VALUE"""),"5 – High-quality, Clean Bangla speech")</f>
        <v>5 – High-quality, Clean Bangla speech</v>
      </c>
      <c r="L123" s="2" t="str">
        <f>IFERROR(__xludf.DUMMYFUNCTION("""COMPUTED_VALUE"""),"No")</f>
        <v>No</v>
      </c>
    </row>
    <row r="124">
      <c r="A124" s="2" t="str">
        <f>IFERROR(__xludf.DUMMYFUNCTION("""COMPUTED_VALUE"""),"\collect\read\YouTube\TORONGO\_hMXloZOEiw\0ad3af4c-9bf1-4735-bf6c-eb54612dc2c7.flac")</f>
        <v>\collect\read\YouTube\TORONGO\_hMXloZOEiw\0ad3af4c-9bf1-4735-bf6c-eb54612dc2c7.flac</v>
      </c>
      <c r="B124" s="2">
        <f>IFERROR(__xludf.DUMMYFUNCTION("""COMPUTED_VALUE"""),30.0)</f>
        <v>30</v>
      </c>
      <c r="C124" s="2" t="str">
        <f>IFERROR(__xludf.DUMMYFUNCTION("""COMPUTED_VALUE"""),"কী ভালো আমার লাগলু উ আকাশের দিকে তাকিয়ে ভালোলাগার অনুভূতিগুলো সবসময় এমন থাকেন আমাদের যখন মন এবং শরীর দুই মিলিয়ে আমরা ভালো থাকি যখন চারি পাশে সব ভালো ভালো খবর শুনি সফলতার গল্প শুনি মনটা নিজে থেকেই ভালো হয়ে যায় যেকোনো কাজের আগে স্বপ্ন দেখি আমরা সেই স্বপ্ন প"&amp;"ূরণের আনন্দে হেসে ঠিক আমাদের চারি পাশ কিন্তু কোনো কাজ শুরু করার সাথে সাথে কি")</f>
        <v>কী ভালো আমার লাগলু উ আকাশের দিকে তাকিয়ে ভালোলাগার অনুভূতিগুলো সবসময় এমন থাকেন আমাদের যখন মন এবং শরীর দুই মিলিয়ে আমরা ভালো থাকি যখন চারি পাশে সব ভালো ভালো খবর শুনি সফলতার গল্প শুনি মনটা নিজে থেকেই ভালো হয়ে যায় যেকোনো কাজের আগে স্বপ্ন দেখি আমরা সেই স্বপ্ন পূরণের আনন্দে হেসে ঠিক আমাদের চারি পাশ কিন্তু কোনো কাজ শুরু করার সাথে সাথে কি</v>
      </c>
      <c r="D124" s="2" t="str">
        <f>IFERROR(__xludf.DUMMYFUNCTION("""COMPUTED_VALUE"""),"Yes")</f>
        <v>Yes</v>
      </c>
      <c r="E124" s="2" t="str">
        <f>IFERROR(__xludf.DUMMYFUNCTION("""COMPUTED_VALUE"""),"Yes")</f>
        <v>Yes</v>
      </c>
      <c r="F124" s="2" t="str">
        <f>IFERROR(__xludf.DUMMYFUNCTION("""COMPUTED_VALUE"""),"No")</f>
        <v>No</v>
      </c>
      <c r="G124" s="2">
        <f>IFERROR(__xludf.DUMMYFUNCTION("""COMPUTED_VALUE"""),0.5)</f>
        <v>0.5</v>
      </c>
      <c r="H124" s="2">
        <f>IFERROR(__xludf.DUMMYFUNCTION("""COMPUTED_VALUE"""),1.0)</f>
        <v>1</v>
      </c>
      <c r="I124" s="2">
        <f>IFERROR(__xludf.DUMMYFUNCTION("""COMPUTED_VALUE"""),1.0)</f>
        <v>1</v>
      </c>
      <c r="J124" s="2">
        <f>IFERROR(__xludf.DUMMYFUNCTION("""COMPUTED_VALUE"""),1.0)</f>
        <v>1</v>
      </c>
      <c r="K124" s="2" t="str">
        <f>IFERROR(__xludf.DUMMYFUNCTION("""COMPUTED_VALUE"""),"5 – High-quality, Clean Bangla speech")</f>
        <v>5 – High-quality, Clean Bangla speech</v>
      </c>
      <c r="L124" s="2" t="str">
        <f>IFERROR(__xludf.DUMMYFUNCTION("""COMPUTED_VALUE"""),"No")</f>
        <v>No</v>
      </c>
    </row>
    <row r="125">
      <c r="A125" s="2" t="str">
        <f>IFERROR(__xludf.DUMMYFUNCTION("""COMPUTED_VALUE"""),"\collect\read\YouTube\TORONGO\_hMXloZOEiw\0adbabf1-4cd8-44e5-b4ed-1a51df417598.flac")</f>
        <v>\collect\read\YouTube\TORONGO\_hMXloZOEiw\0adbabf1-4cd8-44e5-b4ed-1a51df417598.flac</v>
      </c>
      <c r="B125" s="2">
        <f>IFERROR(__xludf.DUMMYFUNCTION("""COMPUTED_VALUE"""),30.0)</f>
        <v>30</v>
      </c>
      <c r="C125" s="2" t="str">
        <f>IFERROR(__xludf.DUMMYFUNCTION("""COMPUTED_VALUE"""),"শ্রোতা বন্ধুরা আমরা শুনেছিলাম নাগরিক জীবনের উন্নয়নের জন্য গৃহীত পদক্ষেপের কথাগুলো যারা কাজ করছেন তাদের আলাপচারিতায় নগর উন্নয়ন পর্বে সবার স্বপ্নগুলো সফল হ এবং যে উদ্দেশ্যে এই কাজগুলো হাতে নেওয়া হয়েছে সেই উদ্দেশ্য যেন সফল হয় আপনাদের জন্য আরো একবার শুভেচ্ছা "&amp;"সকালের মিষ্টি মিষ্টি রোদে শুভেচ্ছাগুলো সারাদিন কাজ যেন সবার সফল হয় হাসি ফুটি আমাদের সবার মুখ মুখে এমনি প্রত্যাশা আপনারা শুনছেন ঢাকা মহানগর কেন্দ্রিক প্রভাব")</f>
        <v>শ্রোতা বন্ধুরা আমরা শুনেছিলাম নাগরিক জীবনের উন্নয়নের জন্য গৃহীত পদক্ষেপের কথাগুলো যারা কাজ করছেন তাদের আলাপচারিতায় নগর উন্নয়ন পর্বে সবার স্বপ্নগুলো সফল হ এবং যে উদ্দেশ্যে এই কাজগুলো হাতে নেওয়া হয়েছে সেই উদ্দেশ্য যেন সফল হয় আপনাদের জন্য আরো একবার শুভেচ্ছা সকালের মিষ্টি মিষ্টি রোদে শুভেচ্ছাগুলো সারাদিন কাজ যেন সবার সফল হয় হাসি ফুটি আমাদের সবার মুখ মুখে এমনি প্রত্যাশা আপনারা শুনছেন ঢাকা মহানগর কেন্দ্রিক প্রভাব</v>
      </c>
      <c r="D125" s="2" t="str">
        <f>IFERROR(__xludf.DUMMYFUNCTION("""COMPUTED_VALUE"""),"Yes")</f>
        <v>Yes</v>
      </c>
      <c r="E125" s="2" t="str">
        <f>IFERROR(__xludf.DUMMYFUNCTION("""COMPUTED_VALUE"""),"No")</f>
        <v>No</v>
      </c>
      <c r="F125" s="2" t="str">
        <f>IFERROR(__xludf.DUMMYFUNCTION("""COMPUTED_VALUE"""),"No")</f>
        <v>No</v>
      </c>
      <c r="G125" s="2">
        <f>IFERROR(__xludf.DUMMYFUNCTION("""COMPUTED_VALUE"""),1.0)</f>
        <v>1</v>
      </c>
      <c r="H125" s="2">
        <f>IFERROR(__xludf.DUMMYFUNCTION("""COMPUTED_VALUE"""),1.0)</f>
        <v>1</v>
      </c>
      <c r="I125" s="2">
        <f>IFERROR(__xludf.DUMMYFUNCTION("""COMPUTED_VALUE"""),0.5)</f>
        <v>0.5</v>
      </c>
      <c r="J125" s="2">
        <f>IFERROR(__xludf.DUMMYFUNCTION("""COMPUTED_VALUE"""),1.0)</f>
        <v>1</v>
      </c>
      <c r="K125" s="2" t="str">
        <f>IFERROR(__xludf.DUMMYFUNCTION("""COMPUTED_VALUE"""),"5 – High-quality, Clean Bangla speech")</f>
        <v>5 – High-quality, Clean Bangla speech</v>
      </c>
      <c r="L125" s="2" t="str">
        <f>IFERROR(__xludf.DUMMYFUNCTION("""COMPUTED_VALUE"""),"No")</f>
        <v>No</v>
      </c>
    </row>
    <row r="126">
      <c r="A126" s="2" t="str">
        <f>IFERROR(__xludf.DUMMYFUNCTION("""COMPUTED_VALUE"""),"\collect\read\YouTube\TORONGO\_hMXloZOEiw\2c9fac10-577f-4b59-be0f-a473454f268d.flac")</f>
        <v>\collect\read\YouTube\TORONGO\_hMXloZOEiw\2c9fac10-577f-4b59-be0f-a473454f268d.flac</v>
      </c>
      <c r="B126" s="2">
        <f>IFERROR(__xludf.DUMMYFUNCTION("""COMPUTED_VALUE"""),30.0)</f>
        <v>30</v>
      </c>
      <c r="C126" s="2" t="str">
        <f>IFERROR(__xludf.DUMMYFUNCTION("""COMPUTED_VALUE"""),"আয়তা কায় যার আয়তন দুই হাজার চারশ তেষট্টি দশমিক পাঁচ এক বর্গ কিলোমিটার তবে এ মসজিদে অতিরিক্ত সাজসজ্জা বা অলঙ্করণ এড়িয়ে যাওয়া হয়েছে বোন্ধেরা বাংলাদেশের একটি অন্যতম স্থাপত্য ঐতিহ্য ছিনলাম আমরা আজকে চেনা অচেনা ঢাকা পর্বে এভাবেই আগামী সপ্তাহে আবারও কথা হবে এমন"&amp;" কামনায় শেষ করছি পর্ব সবাই সচেতন থাকুন নিরাপদ ভালো থাকুন সুস্থ থাকুন শুভ কামনায় রইলো")</f>
        <v>আয়তা কায় যার আয়তন দুই হাজার চারশ তেষট্টি দশমিক পাঁচ এক বর্গ কিলোমিটার তবে এ মসজিদে অতিরিক্ত সাজসজ্জা বা অলঙ্করণ এড়িয়ে যাওয়া হয়েছে বোন্ধেরা বাংলাদেশের একটি অন্যতম স্থাপত্য ঐতিহ্য ছিনলাম আমরা আজকে চেনা অচেনা ঢাকা পর্বে এভাবেই আগামী সপ্তাহে আবারও কথা হবে এমন কামনায় শেষ করছি পর্ব সবাই সচেতন থাকুন নিরাপদ ভালো থাকুন সুস্থ থাকুন শুভ কামনায় রইলো</v>
      </c>
      <c r="D126" s="2" t="str">
        <f>IFERROR(__xludf.DUMMYFUNCTION("""COMPUTED_VALUE"""),"Yes")</f>
        <v>Yes</v>
      </c>
      <c r="E126" s="2" t="str">
        <f>IFERROR(__xludf.DUMMYFUNCTION("""COMPUTED_VALUE"""),"No")</f>
        <v>No</v>
      </c>
      <c r="F126" s="2" t="str">
        <f>IFERROR(__xludf.DUMMYFUNCTION("""COMPUTED_VALUE"""),"Yes")</f>
        <v>Yes</v>
      </c>
      <c r="G126" s="2">
        <f>IFERROR(__xludf.DUMMYFUNCTION("""COMPUTED_VALUE"""),0.5)</f>
        <v>0.5</v>
      </c>
      <c r="H126" s="2">
        <f>IFERROR(__xludf.DUMMYFUNCTION("""COMPUTED_VALUE"""),1.0)</f>
        <v>1</v>
      </c>
      <c r="I126" s="2">
        <f>IFERROR(__xludf.DUMMYFUNCTION("""COMPUTED_VALUE"""),0.5)</f>
        <v>0.5</v>
      </c>
      <c r="J126" s="2">
        <f>IFERROR(__xludf.DUMMYFUNCTION("""COMPUTED_VALUE"""),1.0)</f>
        <v>1</v>
      </c>
      <c r="K126" s="2" t="str">
        <f>IFERROR(__xludf.DUMMYFUNCTION("""COMPUTED_VALUE"""),"5 – High-quality, Clean Bangla speech")</f>
        <v>5 – High-quality, Clean Bangla speech</v>
      </c>
      <c r="L126" s="2" t="str">
        <f>IFERROR(__xludf.DUMMYFUNCTION("""COMPUTED_VALUE"""),"No")</f>
        <v>No</v>
      </c>
    </row>
    <row r="127">
      <c r="A127" s="2" t="str">
        <f>IFERROR(__xludf.DUMMYFUNCTION("""COMPUTED_VALUE"""),"\collect\read\YouTube\TORONGO\_hMXloZOEiw\2cc5c4a7-7e5c-4385-a1ba-337a1ac9336f.flac")</f>
        <v>\collect\read\YouTube\TORONGO\_hMXloZOEiw\2cc5c4a7-7e5c-4385-a1ba-337a1ac9336f.flac</v>
      </c>
      <c r="B127" s="2">
        <f>IFERROR(__xludf.DUMMYFUNCTION("""COMPUTED_VALUE"""),30.0)</f>
        <v>30</v>
      </c>
      <c r="C127" s="2" t="str">
        <f>IFERROR(__xludf.DUMMYFUNCTION("""COMPUTED_VALUE"""),"আসে ঠিকই যে কর্মকাণ্ড করার জন্য যে পদক্ষেপ গুলো নিয়েছিলাম আমাদের দলীয় কর্মিরা সশ এলাকায় হে কে যে সাধারণ মানুষরা যখন ঘরে বন্দী ছিল সেই বন্দি থাকা অবস্থায় তাদের খাওয়া তাওআর কোনো অবস্থা ছিল না তখন আমরা আমাদের এই অফিস থেকে তেলাকি এলাকায় আমরা খাবার গুলো পৌঁছিয়"&amp;"ে দিছি এবং তাদেরকে ইনটিনমেন্টের জন্য আমাদের একটা ডাক্তারি টিম ছিল তারা মাইক্রোবাসটি")</f>
        <v>আসে ঠিকই যে কর্মকাণ্ড করার জন্য যে পদক্ষেপ গুলো নিয়েছিলাম আমাদের দলীয় কর্মিরা সশ এলাকায় হে কে যে সাধারণ মানুষরা যখন ঘরে বন্দী ছিল সেই বন্দি থাকা অবস্থায় তাদের খাওয়া তাওআর কোনো অবস্থা ছিল না তখন আমরা আমাদের এই অফিস থেকে তেলাকি এলাকায় আমরা খাবার গুলো পৌঁছিয়ে দিছি এবং তাদেরকে ইনটিনমেন্টের জন্য আমাদের একটা ডাক্তারি টিম ছিল তারা মাইক্রোবাসটি</v>
      </c>
      <c r="D127" s="2" t="str">
        <f>IFERROR(__xludf.DUMMYFUNCTION("""COMPUTED_VALUE"""),"Yes")</f>
        <v>Yes</v>
      </c>
      <c r="E127" s="2" t="str">
        <f>IFERROR(__xludf.DUMMYFUNCTION("""COMPUTED_VALUE"""),"No")</f>
        <v>No</v>
      </c>
      <c r="F127" s="2" t="str">
        <f>IFERROR(__xludf.DUMMYFUNCTION("""COMPUTED_VALUE"""),"Yes")</f>
        <v>Yes</v>
      </c>
      <c r="G127" s="2">
        <f>IFERROR(__xludf.DUMMYFUNCTION("""COMPUTED_VALUE"""),0.5)</f>
        <v>0.5</v>
      </c>
      <c r="H127" s="2">
        <f>IFERROR(__xludf.DUMMYFUNCTION("""COMPUTED_VALUE"""),1.0)</f>
        <v>1</v>
      </c>
      <c r="I127" s="2">
        <f>IFERROR(__xludf.DUMMYFUNCTION("""COMPUTED_VALUE"""),0.5)</f>
        <v>0.5</v>
      </c>
      <c r="J127" s="2">
        <f>IFERROR(__xludf.DUMMYFUNCTION("""COMPUTED_VALUE"""),1.0)</f>
        <v>1</v>
      </c>
      <c r="K127" s="2" t="str">
        <f>IFERROR(__xludf.DUMMYFUNCTION("""COMPUTED_VALUE"""),"5 – High-quality, Clean Bangla speech")</f>
        <v>5 – High-quality, Clean Bangla speech</v>
      </c>
      <c r="L127" s="2" t="str">
        <f>IFERROR(__xludf.DUMMYFUNCTION("""COMPUTED_VALUE"""),"No")</f>
        <v>No</v>
      </c>
    </row>
    <row r="128">
      <c r="A128" s="2" t="str">
        <f>IFERROR(__xludf.DUMMYFUNCTION("""COMPUTED_VALUE"""),"\collect\read\YouTube\TORONGO\_hMXloZOEiw\3655c1f5-e559-494c-9212-2c2705301bf7.flac")</f>
        <v>\collect\read\YouTube\TORONGO\_hMXloZOEiw\3655c1f5-e559-494c-9212-2c2705301bf7.flac</v>
      </c>
      <c r="B128" s="2">
        <f>IFERROR(__xludf.DUMMYFUNCTION("""COMPUTED_VALUE"""),30.0)</f>
        <v>30</v>
      </c>
      <c r="C128" s="2" t="str">
        <f>IFERROR(__xludf.DUMMYFUNCTION("""COMPUTED_VALUE"""),"আরা কি জানি তাদের সব বাদ সফলতার পেছনের গল্পগুলো একটু ইচ্ছে করলেই নানা মাধ্যমে জানা যায় সফল মানুষদের সফলতার নেপথ্যির পরিশ্রমের গল্প আর শুন না জানি এবং সেই অনুপ্রেরণায় চেষ্টা করি নিজেও সফলতায় এমন আহ্বান এবার জানিয়ে দেই আজকের সূচি বন্দিরে আজ শুনাবো অমরবানি ন"&amp;"গর উন্নয়ন চেনা অচেনা ঢাকা নগরীর স্রোতসীনি এবং সেই সাথে একটি গানও কিন্তু থাকছে আপনাদের জন্য")</f>
        <v>আরা কি জানি তাদের সব বাদ সফলতার পেছনের গল্পগুলো একটু ইচ্ছে করলেই নানা মাধ্যমে জানা যায় সফল মানুষদের সফলতার নেপথ্যির পরিশ্রমের গল্প আর শুন না জানি এবং সেই অনুপ্রেরণায় চেষ্টা করি নিজেও সফলতায় এমন আহ্বান এবার জানিয়ে দেই আজকের সূচি বন্দিরে আজ শুনাবো অমরবানি নগর উন্নয়ন চেনা অচেনা ঢাকা নগরীর স্রোতসীনি এবং সেই সাথে একটি গানও কিন্তু থাকছে আপনাদের জন্য</v>
      </c>
      <c r="D128" s="2" t="str">
        <f>IFERROR(__xludf.DUMMYFUNCTION("""COMPUTED_VALUE"""),"Yes")</f>
        <v>Yes</v>
      </c>
      <c r="E128" s="2" t="str">
        <f>IFERROR(__xludf.DUMMYFUNCTION("""COMPUTED_VALUE"""),"Yes")</f>
        <v>Yes</v>
      </c>
      <c r="F128" s="2" t="str">
        <f>IFERROR(__xludf.DUMMYFUNCTION("""COMPUTED_VALUE"""),"Yes")</f>
        <v>Yes</v>
      </c>
      <c r="G128" s="2">
        <f>IFERROR(__xludf.DUMMYFUNCTION("""COMPUTED_VALUE"""),0.5)</f>
        <v>0.5</v>
      </c>
      <c r="H128" s="2">
        <f>IFERROR(__xludf.DUMMYFUNCTION("""COMPUTED_VALUE"""),0.5)</f>
        <v>0.5</v>
      </c>
      <c r="I128" s="2">
        <f>IFERROR(__xludf.DUMMYFUNCTION("""COMPUTED_VALUE"""),0.5)</f>
        <v>0.5</v>
      </c>
      <c r="J128" s="2">
        <f>IFERROR(__xludf.DUMMYFUNCTION("""COMPUTED_VALUE"""),0.5)</f>
        <v>0.5</v>
      </c>
      <c r="K128" s="2" t="str">
        <f>IFERROR(__xludf.DUMMYFUNCTION("""COMPUTED_VALUE"""),"5 – High-quality, Clean Bangla speech")</f>
        <v>5 – High-quality, Clean Bangla speech</v>
      </c>
      <c r="L128" s="2" t="str">
        <f>IFERROR(__xludf.DUMMYFUNCTION("""COMPUTED_VALUE"""),"No")</f>
        <v>No</v>
      </c>
    </row>
    <row r="129">
      <c r="A129" s="2" t="str">
        <f>IFERROR(__xludf.DUMMYFUNCTION("""COMPUTED_VALUE"""),"\collect\read\YouTube\TORONGO\_hMXloZOEiw\3c1db09e-8d90-46ac-ac27-3da36a0063a0.flac")</f>
        <v>\collect\read\YouTube\TORONGO\_hMXloZOEiw\3c1db09e-8d90-46ac-ac27-3da36a0063a0.flac</v>
      </c>
      <c r="B129" s="2">
        <f>IFERROR(__xludf.DUMMYFUNCTION("""COMPUTED_VALUE"""),30.0)</f>
        <v>30</v>
      </c>
      <c r="C129" s="2" t="str">
        <f>IFERROR(__xludf.DUMMYFUNCTION("""COMPUTED_VALUE"""),"শ্তেবন্ধুরে ম্যাগাজিন মহানগরের আয়োজন এতক্ষণ আমরা শুনছিলাম ছিনা অচেনে ঢাকা পর্বটি বন্ধুরা দেখতে দেখতে সকলে নরম ইষ্টি রোদে একটু ভারী হয়ে উঠে আমাদের জানান দিচ্ছে বেশ কিছুটা সময় আমরা বেরিয়ে এলাম বহমান সময়ের সাথে সাথে এগিয়ে চলাই জীবন হা বন্ধরা সেই চলমান জীবনে "&amp;"এবারে আমাদের পরিবেশনা নগরীর স্রোতস্বনী পর্বটি ঢাকা মহানগরীর নদী খাল জলাশয়ের উপর এই প্রতিবেদনমূলক পরিবেশনার গ্রন্থনী এবং পাঠে আছেন মহাম্মদ")</f>
        <v>শ্তেবন্ধুরে ম্যাগাজিন মহানগরের আয়োজন এতক্ষণ আমরা শুনছিলাম ছিনা অচেনে ঢাকা পর্বটি বন্ধুরা দেখতে দেখতে সকলে নরম ইষ্টি রোদে একটু ভারী হয়ে উঠে আমাদের জানান দিচ্ছে বেশ কিছুটা সময় আমরা বেরিয়ে এলাম বহমান সময়ের সাথে সাথে এগিয়ে চলাই জীবন হা বন্ধরা সেই চলমান জীবনে এবারে আমাদের পরিবেশনা নগরীর স্রোতস্বনী পর্বটি ঢাকা মহানগরীর নদী খাল জলাশয়ের উপর এই প্রতিবেদনমূলক পরিবেশনার গ্রন্থনী এবং পাঠে আছেন মহাম্মদ</v>
      </c>
      <c r="D129" s="2" t="str">
        <f>IFERROR(__xludf.DUMMYFUNCTION("""COMPUTED_VALUE"""),"Yes")</f>
        <v>Yes</v>
      </c>
      <c r="E129" s="2" t="str">
        <f>IFERROR(__xludf.DUMMYFUNCTION("""COMPUTED_VALUE"""),"Yes")</f>
        <v>Yes</v>
      </c>
      <c r="F129" s="2" t="str">
        <f>IFERROR(__xludf.DUMMYFUNCTION("""COMPUTED_VALUE"""),"Yes")</f>
        <v>Yes</v>
      </c>
      <c r="G129" s="2">
        <f>IFERROR(__xludf.DUMMYFUNCTION("""COMPUTED_VALUE"""),0.0)</f>
        <v>0</v>
      </c>
      <c r="H129" s="2">
        <f>IFERROR(__xludf.DUMMYFUNCTION("""COMPUTED_VALUE"""),0.5)</f>
        <v>0.5</v>
      </c>
      <c r="I129" s="2">
        <f>IFERROR(__xludf.DUMMYFUNCTION("""COMPUTED_VALUE"""),0.5)</f>
        <v>0.5</v>
      </c>
      <c r="J129" s="2">
        <f>IFERROR(__xludf.DUMMYFUNCTION("""COMPUTED_VALUE"""),1.0)</f>
        <v>1</v>
      </c>
      <c r="K129" s="2" t="str">
        <f>IFERROR(__xludf.DUMMYFUNCTION("""COMPUTED_VALUE"""),"5 – High-quality, Clean Bangla speech")</f>
        <v>5 – High-quality, Clean Bangla speech</v>
      </c>
      <c r="L129" s="2" t="str">
        <f>IFERROR(__xludf.DUMMYFUNCTION("""COMPUTED_VALUE"""),"No")</f>
        <v>No</v>
      </c>
    </row>
    <row r="130">
      <c r="A130" s="2" t="str">
        <f>IFERROR(__xludf.DUMMYFUNCTION("""COMPUTED_VALUE"""),"\collect\read\YouTube\TORONGO\_hMXloZOEiw\4916705e-a103-45a7-9ad0-efd1e42ddf57.flac")</f>
        <v>\collect\read\YouTube\TORONGO\_hMXloZOEiw\4916705e-a103-45a7-9ad0-efd1e42ddf57.flac</v>
      </c>
      <c r="B130" s="2">
        <f>IFERROR(__xludf.DUMMYFUNCTION("""COMPUTED_VALUE"""),30.0)</f>
        <v>30</v>
      </c>
      <c r="C130" s="2" t="str">
        <f>IFERROR(__xludf.DUMMYFUNCTION("""COMPUTED_VALUE"""),"হতবর্ষ কালের বিবর্তনে পরিবর্তিত হয়েছে এ নগরীর অনেক ঐতিহাসিক অতিথ জৌরুশ পরিবর্তনের সেই ধারাবাহিকতায় সলীল সমাধি হয়েছে পরিবা খালে বর্তমানে পরিবার খাল ভরাট করে খালের উপর তৈরি করা হয়েছে সোনার গাঁও সরো আর সড়কের দুপাশে নির্মিত হয়েছে বহুতল বিশিষ্ট শপিং কমপ্লেক্সস"&amp;"হ আবাসিক অনাবাসিক অসংখ্য তালিকা বধুরা পরিবার খাল সহ অতীতে মহানগরী ঢাকার")</f>
        <v>হতবর্ষ কালের বিবর্তনে পরিবর্তিত হয়েছে এ নগরীর অনেক ঐতিহাসিক অতিথ জৌরুশ পরিবর্তনের সেই ধারাবাহিকতায় সলীল সমাধি হয়েছে পরিবা খালে বর্তমানে পরিবার খাল ভরাট করে খালের উপর তৈরি করা হয়েছে সোনার গাঁও সরো আর সড়কের দুপাশে নির্মিত হয়েছে বহুতল বিশিষ্ট শপিং কমপ্লেক্সসহ আবাসিক অনাবাসিক অসংখ্য তালিকা বধুরা পরিবার খাল সহ অতীতে মহানগরী ঢাকার</v>
      </c>
      <c r="D130" s="2" t="str">
        <f>IFERROR(__xludf.DUMMYFUNCTION("""COMPUTED_VALUE"""),"Yes")</f>
        <v>Yes</v>
      </c>
      <c r="E130" s="2" t="str">
        <f>IFERROR(__xludf.DUMMYFUNCTION("""COMPUTED_VALUE"""),"Yes")</f>
        <v>Yes</v>
      </c>
      <c r="F130" s="2" t="str">
        <f>IFERROR(__xludf.DUMMYFUNCTION("""COMPUTED_VALUE"""),"Yes")</f>
        <v>Yes</v>
      </c>
      <c r="G130" s="2">
        <f>IFERROR(__xludf.DUMMYFUNCTION("""COMPUTED_VALUE"""),0.5)</f>
        <v>0.5</v>
      </c>
      <c r="H130" s="2">
        <f>IFERROR(__xludf.DUMMYFUNCTION("""COMPUTED_VALUE"""),0.5)</f>
        <v>0.5</v>
      </c>
      <c r="I130" s="2">
        <f>IFERROR(__xludf.DUMMYFUNCTION("""COMPUTED_VALUE"""),0.5)</f>
        <v>0.5</v>
      </c>
      <c r="J130" s="2">
        <f>IFERROR(__xludf.DUMMYFUNCTION("""COMPUTED_VALUE"""),1.0)</f>
        <v>1</v>
      </c>
      <c r="K130" s="2" t="str">
        <f>IFERROR(__xludf.DUMMYFUNCTION("""COMPUTED_VALUE"""),"5 – High-quality, Clean Bangla speech")</f>
        <v>5 – High-quality, Clean Bangla speech</v>
      </c>
      <c r="L130" s="2" t="str">
        <f>IFERROR(__xludf.DUMMYFUNCTION("""COMPUTED_VALUE"""),"No")</f>
        <v>No</v>
      </c>
    </row>
    <row r="131">
      <c r="A131" s="2" t="str">
        <f>IFERROR(__xludf.DUMMYFUNCTION("""COMPUTED_VALUE"""),"\collect\read\YouTube\TORONGO\_hMXloZOEiw\4fedcec7-ce72-4296-9dfd-6a2d1a8d1c35.flac")</f>
        <v>\collect\read\YouTube\TORONGO\_hMXloZOEiw\4fedcec7-ce72-4296-9dfd-6a2d1a8d1c35.flac</v>
      </c>
      <c r="B131" s="2">
        <f>IFERROR(__xludf.DUMMYFUNCTION("""COMPUTED_VALUE"""),30.0)</f>
        <v>30</v>
      </c>
      <c r="C131" s="2" t="str">
        <f>IFERROR(__xludf.DUMMYFUNCTION("""COMPUTED_VALUE"""),"রবত্য উন্নয়নের চলে গেছে ঢাকা উত্তর এবং দক্ষিণ সিটি কর্পোরেশনের বিভিন্ন ওয়ার্ডগুলোতে বিশেষ করে বর্তমান সরকারের আমলে এসব ওয়ার্ডগুলোর অবকাঠামোগত যে উন্নয়ন সেই উন্নয়নে নেপথ্যে রয়েছে মাননীয় মেয়র এবং বিভিন্ন ওয়ার্ডের ওয়ার্ড কাউন্সিলারদ গুরুত্বপূর্ণ একটা ভূমিকা "&amp;"প্রিয় বন্ধুরা আজ আমি আপনাদেরকে নিয়ে যাব ঢাকা দক্ষিণ সিটি কর্পোরেশনের তেরো নম্বর ওয়ার্ডে আমি আপনাদের সামনে তুলে ধরব এই তেরো নম্বর ওয়ার্ডের বিভিন্ন উন্নয়নমুখী কর্মকাণ্ডগুলো এবং একই সাথে আপনাদের সামনে তুলে ধরব")</f>
        <v>রবত্য উন্নয়নের চলে গেছে ঢাকা উত্তর এবং দক্ষিণ সিটি কর্পোরেশনের বিভিন্ন ওয়ার্ডগুলোতে বিশেষ করে বর্তমান সরকারের আমলে এসব ওয়ার্ডগুলোর অবকাঠামোগত যে উন্নয়ন সেই উন্নয়নে নেপথ্যে রয়েছে মাননীয় মেয়র এবং বিভিন্ন ওয়ার্ডের ওয়ার্ড কাউন্সিলারদ গুরুত্বপূর্ণ একটা ভূমিকা প্রিয় বন্ধুরা আজ আমি আপনাদেরকে নিয়ে যাব ঢাকা দক্ষিণ সিটি কর্পোরেশনের তেরো নম্বর ওয়ার্ডে আমি আপনাদের সামনে তুলে ধরব এই তেরো নম্বর ওয়ার্ডের বিভিন্ন উন্নয়নমুখী কর্মকাণ্ডগুলো এবং একই সাথে আপনাদের সামনে তুলে ধরব</v>
      </c>
      <c r="D131" s="2" t="str">
        <f>IFERROR(__xludf.DUMMYFUNCTION("""COMPUTED_VALUE"""),"Yes")</f>
        <v>Yes</v>
      </c>
      <c r="E131" s="2" t="str">
        <f>IFERROR(__xludf.DUMMYFUNCTION("""COMPUTED_VALUE"""),"No")</f>
        <v>No</v>
      </c>
      <c r="F131" s="2"/>
      <c r="G131" s="2">
        <f>IFERROR(__xludf.DUMMYFUNCTION("""COMPUTED_VALUE"""),1.0)</f>
        <v>1</v>
      </c>
      <c r="H131" s="2">
        <f>IFERROR(__xludf.DUMMYFUNCTION("""COMPUTED_VALUE"""),1.0)</f>
        <v>1</v>
      </c>
      <c r="I131" s="2">
        <f>IFERROR(__xludf.DUMMYFUNCTION("""COMPUTED_VALUE"""),1.0)</f>
        <v>1</v>
      </c>
      <c r="J131" s="2">
        <f>IFERROR(__xludf.DUMMYFUNCTION("""COMPUTED_VALUE"""),1.0)</f>
        <v>1</v>
      </c>
      <c r="K131" s="2" t="str">
        <f>IFERROR(__xludf.DUMMYFUNCTION("""COMPUTED_VALUE"""),"5 – High-quality, Clean Bangla speech")</f>
        <v>5 – High-quality, Clean Bangla speech</v>
      </c>
      <c r="L131" s="2" t="str">
        <f>IFERROR(__xludf.DUMMYFUNCTION("""COMPUTED_VALUE"""),"No")</f>
        <v>No</v>
      </c>
    </row>
    <row r="132">
      <c r="A132" s="2" t="str">
        <f>IFERROR(__xludf.DUMMYFUNCTION("""COMPUTED_VALUE"""),"\collect\read\YouTube\TORONGO\_hMXloZOEiw\5a78f832-14a7-4c39-8dbf-190e10d78fe2.flac")</f>
        <v>\collect\read\YouTube\TORONGO\_hMXloZOEiw\5a78f832-14a7-4c39-8dbf-190e10d78fe2.flac</v>
      </c>
      <c r="B132" s="2">
        <f>IFERROR(__xludf.DUMMYFUNCTION("""COMPUTED_VALUE"""),30.0)</f>
        <v>30</v>
      </c>
      <c r="C132" s="2" t="str">
        <f>IFERROR(__xludf.DUMMYFUNCTION("""COMPUTED_VALUE"""),"মুউটি হবেন যে এই কাজ করতে গিয়ে যে আমাদের এলাকার সাধারণ মানুষ তারা সবসময় হ্যা আমাকে সহযোগিতা করছেন এবং তারা তাদের কর্মকাণ্ডগুলো যেখানে যেই সমস্যাগুলো হচ্ছে তারা আমাকে জানাচ্ছে আমরা সেই রাস্তাগুলোকে যেগুলো রাস্তায় কমপ্লিট করতে পারছি না সেগুলো আমরা মেরামত কর"&amp;"ে ঠিক করে দিচ্ছি আপনার এই তেরো নম্বর ওয়াট আরও বেশি উন্নয়নমুখী করার জন্য সেই সঙ্গে সবুজায়ন করার জন্য আগামীদিন")</f>
        <v>মুউটি হবেন যে এই কাজ করতে গিয়ে যে আমাদের এলাকার সাধারণ মানুষ তারা সবসময় হ্যা আমাকে সহযোগিতা করছেন এবং তারা তাদের কর্মকাণ্ডগুলো যেখানে যেই সমস্যাগুলো হচ্ছে তারা আমাকে জানাচ্ছে আমরা সেই রাস্তাগুলোকে যেগুলো রাস্তায় কমপ্লিট করতে পারছি না সেগুলো আমরা মেরামত করে ঠিক করে দিচ্ছি আপনার এই তেরো নম্বর ওয়াট আরও বেশি উন্নয়নমুখী করার জন্য সেই সঙ্গে সবুজায়ন করার জন্য আগামীদিন</v>
      </c>
      <c r="D132" s="2" t="str">
        <f>IFERROR(__xludf.DUMMYFUNCTION("""COMPUTED_VALUE"""),"Yes")</f>
        <v>Yes</v>
      </c>
      <c r="E132" s="2" t="str">
        <f>IFERROR(__xludf.DUMMYFUNCTION("""COMPUTED_VALUE"""),"No")</f>
        <v>No</v>
      </c>
      <c r="F132" s="2" t="str">
        <f>IFERROR(__xludf.DUMMYFUNCTION("""COMPUTED_VALUE"""),"Yes")</f>
        <v>Yes</v>
      </c>
      <c r="G132" s="2">
        <f>IFERROR(__xludf.DUMMYFUNCTION("""COMPUTED_VALUE"""),1.0)</f>
        <v>1</v>
      </c>
      <c r="H132" s="2">
        <f>IFERROR(__xludf.DUMMYFUNCTION("""COMPUTED_VALUE"""),1.0)</f>
        <v>1</v>
      </c>
      <c r="I132" s="2">
        <f>IFERROR(__xludf.DUMMYFUNCTION("""COMPUTED_VALUE"""),1.0)</f>
        <v>1</v>
      </c>
      <c r="J132" s="2">
        <f>IFERROR(__xludf.DUMMYFUNCTION("""COMPUTED_VALUE"""),1.0)</f>
        <v>1</v>
      </c>
      <c r="K132" s="2" t="str">
        <f>IFERROR(__xludf.DUMMYFUNCTION("""COMPUTED_VALUE"""),"5 – High-quality, Clean Bangla speech")</f>
        <v>5 – High-quality, Clean Bangla speech</v>
      </c>
      <c r="L132" s="2" t="str">
        <f>IFERROR(__xludf.DUMMYFUNCTION("""COMPUTED_VALUE"""),"No")</f>
        <v>No</v>
      </c>
    </row>
    <row r="133">
      <c r="A133" s="2" t="str">
        <f>IFERROR(__xludf.DUMMYFUNCTION("""COMPUTED_VALUE"""),"\collect\read\YouTube\TORONGO\_hMXloZOEiw\5d708d67-51bc-4755-a9f3-190528178359.flac")</f>
        <v>\collect\read\YouTube\TORONGO\_hMXloZOEiw\5d708d67-51bc-4755-a9f3-190528178359.flac</v>
      </c>
      <c r="B133" s="2">
        <f>IFERROR(__xludf.DUMMYFUNCTION("""COMPUTED_VALUE"""),30.0)</f>
        <v>30</v>
      </c>
      <c r="C133" s="2" t="str">
        <f>IFERROR(__xludf.DUMMYFUNCTION("""COMPUTED_VALUE"""),"অর্থাৎ এই ওয়ার্ডকে আরও বেশি সবুজায়ন করার জন্য যেসব পদক্ষেপগুলো গ্রহণ করা দরকার সেটি আপনি গরণ করছেন মহানগরীর নগর উন্নয়ন পর্ব থেকে আপনাকে জানাচ্ছি অনেক অনেক ধন্যবাদ বাংলাদেশ বেতারকে আমি ধন্যবাদ জানাই প্রা বন্ধুরা নগর উন্নয়ন পর্ব আজ এ পর্যন্তই আপনাদের সঙ্গে "&amp;"আবারো কথা হবে আগামীর সপ্তাহে যেকোনো বডিট উন্নয়নমূলক কর্মকাণ্ড নিয়ে সে পর্যন্ত সবাই ভালো থাকবেন সুন্দর থাকবেন আরো")</f>
        <v>অর্থাৎ এই ওয়ার্ডকে আরও বেশি সবুজায়ন করার জন্য যেসব পদক্ষেপগুলো গ্রহণ করা দরকার সেটি আপনি গরণ করছেন মহানগরীর নগর উন্নয়ন পর্ব থেকে আপনাকে জানাচ্ছি অনেক অনেক ধন্যবাদ বাংলাদেশ বেতারকে আমি ধন্যবাদ জানাই প্রা বন্ধুরা নগর উন্নয়ন পর্ব আজ এ পর্যন্তই আপনাদের সঙ্গে আবারো কথা হবে আগামীর সপ্তাহে যেকোনো বডিট উন্নয়নমূলক কর্মকাণ্ড নিয়ে সে পর্যন্ত সবাই ভালো থাকবেন সুন্দর থাকবেন আরো</v>
      </c>
      <c r="D133" s="2" t="str">
        <f>IFERROR(__xludf.DUMMYFUNCTION("""COMPUTED_VALUE"""),"Yes")</f>
        <v>Yes</v>
      </c>
      <c r="E133" s="2" t="str">
        <f>IFERROR(__xludf.DUMMYFUNCTION("""COMPUTED_VALUE"""),"Yes")</f>
        <v>Yes</v>
      </c>
      <c r="F133" s="2" t="str">
        <f>IFERROR(__xludf.DUMMYFUNCTION("""COMPUTED_VALUE"""),"Yes")</f>
        <v>Yes</v>
      </c>
      <c r="G133" s="2">
        <f>IFERROR(__xludf.DUMMYFUNCTION("""COMPUTED_VALUE"""),0.5)</f>
        <v>0.5</v>
      </c>
      <c r="H133" s="2">
        <f>IFERROR(__xludf.DUMMYFUNCTION("""COMPUTED_VALUE"""),1.0)</f>
        <v>1</v>
      </c>
      <c r="I133" s="2">
        <f>IFERROR(__xludf.DUMMYFUNCTION("""COMPUTED_VALUE"""),1.0)</f>
        <v>1</v>
      </c>
      <c r="J133" s="2">
        <f>IFERROR(__xludf.DUMMYFUNCTION("""COMPUTED_VALUE"""),1.0)</f>
        <v>1</v>
      </c>
      <c r="K133" s="2" t="str">
        <f>IFERROR(__xludf.DUMMYFUNCTION("""COMPUTED_VALUE"""),"5 – High-quality, Clean Bangla speech")</f>
        <v>5 – High-quality, Clean Bangla speech</v>
      </c>
      <c r="L133" s="2" t="str">
        <f>IFERROR(__xludf.DUMMYFUNCTION("""COMPUTED_VALUE"""),"No")</f>
        <v>No</v>
      </c>
    </row>
    <row r="134">
      <c r="A134" s="2" t="str">
        <f>IFERROR(__xludf.DUMMYFUNCTION("""COMPUTED_VALUE"""),"\collect\read\YouTube\TORONGO\_hMXloZOEiw\6cea4386-7484-46cc-87af-702f146915cd.flac")</f>
        <v>\collect\read\YouTube\TORONGO\_hMXloZOEiw\6cea4386-7484-46cc-87af-702f146915cd.flac</v>
      </c>
      <c r="B134" s="2">
        <f>IFERROR(__xludf.DUMMYFUNCTION("""COMPUTED_VALUE"""),30.0)</f>
        <v>30</v>
      </c>
      <c r="C134" s="2" t="str">
        <f>IFERROR(__xludf.DUMMYFUNCTION("""COMPUTED_VALUE"""),"পরিবাক হালের বিস্তারিত রাজধানীর ব্যস্ততম জনবহুল শাহবাগে অবস্থিত দেশের অন্যতম বৃহৎ বঙ্গবন্ধু শেখ মুজিব মেডিক্যাল বিশ্ববিদ্যালয় সংলগ্ন এলাকা থেকে মগবাজার পর্যন্ত বিস্তৃত ছিল পরিবার খালের এলাকাটি আজও পরিবাক নামে পরিচিত হলেও পরিবার খালের কোনো অস্তিত্ব আজ আর অ"&amp;"বশিষ্ট নেই ঢাকার ইতিহাস বলছে মূলত পরিবার ছিল ঢাকার নবাব্দের বাগান বাড়ি রাজধানী ঢাকার কেন্দ্রস্থল শাহবাগের উত্তরেই ছিল")</f>
        <v>পরিবাক হালের বিস্তারিত রাজধানীর ব্যস্ততম জনবহুল শাহবাগে অবস্থিত দেশের অন্যতম বৃহৎ বঙ্গবন্ধু শেখ মুজিব মেডিক্যাল বিশ্ববিদ্যালয় সংলগ্ন এলাকা থেকে মগবাজার পর্যন্ত বিস্তৃত ছিল পরিবার খালের এলাকাটি আজও পরিবাক নামে পরিচিত হলেও পরিবার খালের কোনো অস্তিত্ব আজ আর অবশিষ্ট নেই ঢাকার ইতিহাস বলছে মূলত পরিবার ছিল ঢাকার নবাব্দের বাগান বাড়ি রাজধানী ঢাকার কেন্দ্রস্থল শাহবাগের উত্তরেই ছিল</v>
      </c>
      <c r="D134" s="2" t="str">
        <f>IFERROR(__xludf.DUMMYFUNCTION("""COMPUTED_VALUE"""),"Yes")</f>
        <v>Yes</v>
      </c>
      <c r="E134" s="2" t="str">
        <f>IFERROR(__xludf.DUMMYFUNCTION("""COMPUTED_VALUE"""),"No")</f>
        <v>No</v>
      </c>
      <c r="F134" s="2" t="str">
        <f>IFERROR(__xludf.DUMMYFUNCTION("""COMPUTED_VALUE"""),"Yes")</f>
        <v>Yes</v>
      </c>
      <c r="G134" s="2">
        <f>IFERROR(__xludf.DUMMYFUNCTION("""COMPUTED_VALUE"""),0.5)</f>
        <v>0.5</v>
      </c>
      <c r="H134" s="2">
        <f>IFERROR(__xludf.DUMMYFUNCTION("""COMPUTED_VALUE"""),1.0)</f>
        <v>1</v>
      </c>
      <c r="I134" s="2">
        <f>IFERROR(__xludf.DUMMYFUNCTION("""COMPUTED_VALUE"""),0.5)</f>
        <v>0.5</v>
      </c>
      <c r="J134" s="2">
        <f>IFERROR(__xludf.DUMMYFUNCTION("""COMPUTED_VALUE"""),1.0)</f>
        <v>1</v>
      </c>
      <c r="K134" s="2" t="str">
        <f>IFERROR(__xludf.DUMMYFUNCTION("""COMPUTED_VALUE"""),"5 – High-quality, Clean Bangla speech")</f>
        <v>5 – High-quality, Clean Bangla speech</v>
      </c>
      <c r="L134" s="2" t="str">
        <f>IFERROR(__xludf.DUMMYFUNCTION("""COMPUTED_VALUE"""),"No")</f>
        <v>No</v>
      </c>
    </row>
    <row r="135">
      <c r="A135" s="2" t="str">
        <f>IFERROR(__xludf.DUMMYFUNCTION("""COMPUTED_VALUE"""),"\collect\read\YouTube\TORONGO\_hMXloZOEiw\7130180e-e168-4a17-bede-3865c3130054.flac")</f>
        <v>\collect\read\YouTube\TORONGO\_hMXloZOEiw\7130180e-e168-4a17-bede-3865c3130054.flac</v>
      </c>
      <c r="B135" s="2">
        <f>IFERROR(__xludf.DUMMYFUNCTION("""COMPUTED_VALUE"""),30.0)</f>
        <v>30</v>
      </c>
      <c r="C135" s="2" t="str">
        <f>IFERROR(__xludf.DUMMYFUNCTION("""COMPUTED_VALUE"""),"সেই সময় এখানে একটি বড় পুকুর ছিল যা পল্টন পুকুর নামেই চেনা ছিল সবার পুকুরটি ভরাট হয় সাতাশে জানুয়ারি উনিশশো ষাট সালে মসজিদ তৈরির কাজে হাত দেয়া হয় এবং উনিশশ আটষট্টি সালে মসজিদটির নির্মাণ কাজ শেষ হয় সিনধুর বিশিষ্ট স্থপতি আবদুল হোসেন থারিয়ানিকে মসজিদ কমপ্লেক্স"&amp;"টি নকশার দায়িত্ব দেওয়া হয়েছিল পুরো কমপ্লেক্স নকশার মধ্যে দোকান অফিস গ্রন্থাগার ও গাড়ি পার্কিংয়ের ব্যবস্থা অন্তর্ভুক্ত করা হয় মস্জিদটি সম্পূর্ণ তৈরি")</f>
        <v>সেই সময় এখানে একটি বড় পুকুর ছিল যা পল্টন পুকুর নামেই চেনা ছিল সবার পুকুরটি ভরাট হয় সাতাশে জানুয়ারি উনিশশো ষাট সালে মসজিদ তৈরির কাজে হাত দেয়া হয় এবং উনিশশ আটষট্টি সালে মসজিদটির নির্মাণ কাজ শেষ হয় সিনধুর বিশিষ্ট স্থপতি আবদুল হোসেন থারিয়ানিকে মসজিদ কমপ্লেক্সটি নকশার দায়িত্ব দেওয়া হয়েছিল পুরো কমপ্লেক্স নকশার মধ্যে দোকান অফিস গ্রন্থাগার ও গাড়ি পার্কিংয়ের ব্যবস্থা অন্তর্ভুক্ত করা হয় মস্জিদটি সম্পূর্ণ তৈরি</v>
      </c>
      <c r="D135" s="2" t="str">
        <f>IFERROR(__xludf.DUMMYFUNCTION("""COMPUTED_VALUE"""),"Yes")</f>
        <v>Yes</v>
      </c>
      <c r="E135" s="2" t="str">
        <f>IFERROR(__xludf.DUMMYFUNCTION("""COMPUTED_VALUE"""),"No")</f>
        <v>No</v>
      </c>
      <c r="F135" s="2" t="str">
        <f>IFERROR(__xludf.DUMMYFUNCTION("""COMPUTED_VALUE"""),"No")</f>
        <v>No</v>
      </c>
      <c r="G135" s="2">
        <f>IFERROR(__xludf.DUMMYFUNCTION("""COMPUTED_VALUE"""),1.0)</f>
        <v>1</v>
      </c>
      <c r="H135" s="2">
        <f>IFERROR(__xludf.DUMMYFUNCTION("""COMPUTED_VALUE"""),1.0)</f>
        <v>1</v>
      </c>
      <c r="I135" s="2">
        <f>IFERROR(__xludf.DUMMYFUNCTION("""COMPUTED_VALUE"""),0.5)</f>
        <v>0.5</v>
      </c>
      <c r="J135" s="2">
        <f>IFERROR(__xludf.DUMMYFUNCTION("""COMPUTED_VALUE"""),1.0)</f>
        <v>1</v>
      </c>
      <c r="K135" s="2" t="str">
        <f>IFERROR(__xludf.DUMMYFUNCTION("""COMPUTED_VALUE"""),"5 – High-quality, Clean Bangla speech")</f>
        <v>5 – High-quality, Clean Bangla speech</v>
      </c>
      <c r="L135" s="2" t="str">
        <f>IFERROR(__xludf.DUMMYFUNCTION("""COMPUTED_VALUE"""),"No")</f>
        <v>No</v>
      </c>
    </row>
    <row r="136">
      <c r="A136" s="2" t="str">
        <f>IFERROR(__xludf.DUMMYFUNCTION("""COMPUTED_VALUE"""),"\collect\read\YouTube\TORONGO\_hMXloZOEiw\7396d853-81df-424d-9272-530d5b47f9c1.flac")</f>
        <v>\collect\read\YouTube\TORONGO\_hMXloZOEiw\7396d853-81df-424d-9272-530d5b47f9c1.flac</v>
      </c>
      <c r="B136" s="2">
        <f>IFERROR(__xludf.DUMMYFUNCTION("""COMPUTED_VALUE"""),30.0)</f>
        <v>30</v>
      </c>
      <c r="C136" s="2" t="str">
        <f>IFERROR(__xludf.DUMMYFUNCTION("""COMPUTED_VALUE"""),"চিঠির ঠিকানা প্রযোজক মহানগর প্রজাত্নী পরিচালক বাংলাদেশ বেতার সৈয়দ মাহবুব মোর্শেদ সরণী শের ই বাংলা নগর ঢাকা এক দুই শুন্য সাল এবং আপনার ইমেইল করতে পারেন মহানগর বিবিআর্দের রটি জি মেইল এই ঠিকানাই এবারের আমন্ত্রণ জানাচ্ছি চেনা অচেনা ঢাকা এই পর্বে এ পর্বে আমরা "&amp;"ঢাকা মহানগরীর বিভিন্ন গুরুত্বপূর্ণ প্রতিষ্ঠান এবং দর্শনীয় স্থানের উপর প্রতিবেদন প্রচার করে থাকি আজকের পর্বে আমরা বিস্তারিত জানব বায়তুল মোকাররম মসজিদ নিয়ে লেখেছেন তা নিয়ে কাদের পড়েশোনা")</f>
        <v>চিঠির ঠিকানা প্রযোজক মহানগর প্রজাত্নী পরিচালক বাংলাদেশ বেতার সৈয়দ মাহবুব মোর্শেদ সরণী শের ই বাংলা নগর ঢাকা এক দুই শুন্য সাল এবং আপনার ইমেইল করতে পারেন মহানগর বিবিআর্দের রটি জি মেইল এই ঠিকানাই এবারের আমন্ত্রণ জানাচ্ছি চেনা অচেনা ঢাকা এই পর্বে এ পর্বে আমরা ঢাকা মহানগরীর বিভিন্ন গুরুত্বপূর্ণ প্রতিষ্ঠান এবং দর্শনীয় স্থানের উপর প্রতিবেদন প্রচার করে থাকি আজকের পর্বে আমরা বিস্তারিত জানব বায়তুল মোকাররম মসজিদ নিয়ে লেখেছেন তা নিয়ে কাদের পড়েশোনা</v>
      </c>
      <c r="D136" s="2" t="str">
        <f>IFERROR(__xludf.DUMMYFUNCTION("""COMPUTED_VALUE"""),"Yes")</f>
        <v>Yes</v>
      </c>
      <c r="E136" s="2" t="str">
        <f>IFERROR(__xludf.DUMMYFUNCTION("""COMPUTED_VALUE"""),"No")</f>
        <v>No</v>
      </c>
      <c r="F136" s="2" t="str">
        <f>IFERROR(__xludf.DUMMYFUNCTION("""COMPUTED_VALUE"""),"Yes")</f>
        <v>Yes</v>
      </c>
      <c r="G136" s="2">
        <f>IFERROR(__xludf.DUMMYFUNCTION("""COMPUTED_VALUE"""),0.5)</f>
        <v>0.5</v>
      </c>
      <c r="H136" s="2">
        <f>IFERROR(__xludf.DUMMYFUNCTION("""COMPUTED_VALUE"""),1.0)</f>
        <v>1</v>
      </c>
      <c r="I136" s="2">
        <f>IFERROR(__xludf.DUMMYFUNCTION("""COMPUTED_VALUE"""),1.0)</f>
        <v>1</v>
      </c>
      <c r="J136" s="2">
        <f>IFERROR(__xludf.DUMMYFUNCTION("""COMPUTED_VALUE"""),1.0)</f>
        <v>1</v>
      </c>
      <c r="K136" s="2" t="str">
        <f>IFERROR(__xludf.DUMMYFUNCTION("""COMPUTED_VALUE"""),"5 – High-quality, Clean Bangla speech")</f>
        <v>5 – High-quality, Clean Bangla speech</v>
      </c>
      <c r="L136" s="2" t="str">
        <f>IFERROR(__xludf.DUMMYFUNCTION("""COMPUTED_VALUE"""),"No")</f>
        <v>No</v>
      </c>
    </row>
    <row r="137">
      <c r="A137" s="2" t="str">
        <f>IFERROR(__xludf.DUMMYFUNCTION("""COMPUTED_VALUE"""),"\collect\read\YouTube\TORONGO\_hMXloZOEiw\7cd42e87-a1a9-46e8-806e-ec8c6525056c.flac")</f>
        <v>\collect\read\YouTube\TORONGO\_hMXloZOEiw\7cd42e87-a1a9-46e8-806e-ec8c6525056c.flac</v>
      </c>
      <c r="B137" s="2">
        <f>IFERROR(__xludf.DUMMYFUNCTION("""COMPUTED_VALUE"""),30.0)</f>
        <v>30</v>
      </c>
      <c r="C137" s="2" t="str">
        <f>IFERROR(__xludf.DUMMYFUNCTION("""COMPUTED_VALUE"""),"তলা বিশিষ্ট বায়তুল মোকাররম মসজিদ দর্শনীয় স্থান হিসেবে দেশি বিদেশি পর্যটকদের কাছে অত্যন্ত আকর্ষণীয় দোতলা থেকে ছয়তলা পর্যন্ত প্রতিতলায় নামাজ পড়া হয় মসজিদের ভেতরে অজু ব্যবস্থাসহ মহিলাদের জন্য পৃথক নামাজের ঘর ও পাঠাগার রয়েছে প্রায় পাঁচ হাজার মহিলা মুসলির এখান"&amp;"ে প্রতিদিন নামাজ আদেয় করতে পারেন নিচতলায় রয়েছে বিপণি বিতান ও একটি বড় অত্যাধুনিক সুসজ্জিত মার্কেট কমপ্লেক্স যেখানে জুয়েলারি ইলেকট্রনিক্স লেড")</f>
        <v>তলা বিশিষ্ট বায়তুল মোকাররম মসজিদ দর্শনীয় স্থান হিসেবে দেশি বিদেশি পর্যটকদের কাছে অত্যন্ত আকর্ষণীয় দোতলা থেকে ছয়তলা পর্যন্ত প্রতিতলায় নামাজ পড়া হয় মসজিদের ভেতরে অজু ব্যবস্থাসহ মহিলাদের জন্য পৃথক নামাজের ঘর ও পাঠাগার রয়েছে প্রায় পাঁচ হাজার মহিলা মুসলির এখানে প্রতিদিন নামাজ আদেয় করতে পারেন নিচতলায় রয়েছে বিপণি বিতান ও একটি বড় অত্যাধুনিক সুসজ্জিত মার্কেট কমপ্লেক্স যেখানে জুয়েলারি ইলেকট্রনিক্স লেড</v>
      </c>
      <c r="D137" s="2" t="str">
        <f>IFERROR(__xludf.DUMMYFUNCTION("""COMPUTED_VALUE"""),"Yes")</f>
        <v>Yes</v>
      </c>
      <c r="E137" s="2" t="str">
        <f>IFERROR(__xludf.DUMMYFUNCTION("""COMPUTED_VALUE"""),"No")</f>
        <v>No</v>
      </c>
      <c r="F137" s="2" t="str">
        <f>IFERROR(__xludf.DUMMYFUNCTION("""COMPUTED_VALUE"""),"No")</f>
        <v>No</v>
      </c>
      <c r="G137" s="2">
        <f>IFERROR(__xludf.DUMMYFUNCTION("""COMPUTED_VALUE"""),1.0)</f>
        <v>1</v>
      </c>
      <c r="H137" s="2">
        <f>IFERROR(__xludf.DUMMYFUNCTION("""COMPUTED_VALUE"""),1.0)</f>
        <v>1</v>
      </c>
      <c r="I137" s="2">
        <f>IFERROR(__xludf.DUMMYFUNCTION("""COMPUTED_VALUE"""),1.0)</f>
        <v>1</v>
      </c>
      <c r="J137" s="2">
        <f>IFERROR(__xludf.DUMMYFUNCTION("""COMPUTED_VALUE"""),1.0)</f>
        <v>1</v>
      </c>
      <c r="K137" s="2" t="str">
        <f>IFERROR(__xludf.DUMMYFUNCTION("""COMPUTED_VALUE"""),"5 – High-quality, Clean Bangla speech")</f>
        <v>5 – High-quality, Clean Bangla speech</v>
      </c>
      <c r="L137" s="2" t="str">
        <f>IFERROR(__xludf.DUMMYFUNCTION("""COMPUTED_VALUE"""),"No")</f>
        <v>No</v>
      </c>
    </row>
    <row r="138">
      <c r="A138" s="2" t="str">
        <f>IFERROR(__xludf.DUMMYFUNCTION("""COMPUTED_VALUE"""),"\collect\read\YouTube\TORONGO\_hMXloZOEiw\7fd23451-b079-4558-a8d0-8af246e95a10.flac")</f>
        <v>\collect\read\YouTube\TORONGO\_hMXloZOEiw\7fd23451-b079-4558-a8d0-8af246e95a10.flac</v>
      </c>
      <c r="B138" s="2">
        <f>IFERROR(__xludf.DUMMYFUNCTION("""COMPUTED_VALUE"""),30.0)</f>
        <v>30</v>
      </c>
      <c r="C138" s="2" t="str">
        <f>IFERROR(__xludf.DUMMYFUNCTION("""COMPUTED_VALUE"""),"পুরনো পল্টন লাইন বিজয়নগর এবং লায়তুল মোকাররম স্টেডিয়াম গুলিস্তান পার্ক এই এরিয়ায় নিয়ে তেরো নম্বর ওয়ার্ড আবার জনপতে খুব গুরুত্বপূর্ণ কি ওয়ার্ড এবং আপনার ওয়ার্ড বিচ্ছি বিভিন্ন আামপরিস্থাপনাগুলো এবারে আমি যে বিষয়ে আপনার সঙ্গে আলাপচারণ করতে চাই সে বিষয়টি কিন্ত"&amp;"ু বর্তমান সময়ের সবচেয়ে গুরুত্বপূর্ণ একটা বিষয় অর্থাৎ আপনি তো জানেন যে করোনাকালীন সময় চলছে ঠিক করোনাকালীন সময়ে")</f>
        <v>পুরনো পল্টন লাইন বিজয়নগর এবং লায়তুল মোকাররম স্টেডিয়াম গুলিস্তান পার্ক এই এরিয়ায় নিয়ে তেরো নম্বর ওয়ার্ড আবার জনপতে খুব গুরুত্বপূর্ণ কি ওয়ার্ড এবং আপনার ওয়ার্ড বিচ্ছি বিভিন্ন আামপরিস্থাপনাগুলো এবারে আমি যে বিষয়ে আপনার সঙ্গে আলাপচারণ করতে চাই সে বিষয়টি কিন্তু বর্তমান সময়ের সবচেয়ে গুরুত্বপূর্ণ একটা বিষয় অর্থাৎ আপনি তো জানেন যে করোনাকালীন সময় চলছে ঠিক করোনাকালীন সময়ে</v>
      </c>
      <c r="D138" s="2" t="str">
        <f>IFERROR(__xludf.DUMMYFUNCTION("""COMPUTED_VALUE"""),"Yes")</f>
        <v>Yes</v>
      </c>
      <c r="E138" s="2" t="str">
        <f>IFERROR(__xludf.DUMMYFUNCTION("""COMPUTED_VALUE"""),"No")</f>
        <v>No</v>
      </c>
      <c r="F138" s="2" t="str">
        <f>IFERROR(__xludf.DUMMYFUNCTION("""COMPUTED_VALUE"""),"Yes")</f>
        <v>Yes</v>
      </c>
      <c r="G138" s="2">
        <f>IFERROR(__xludf.DUMMYFUNCTION("""COMPUTED_VALUE"""),0.5)</f>
        <v>0.5</v>
      </c>
      <c r="H138" s="2">
        <f>IFERROR(__xludf.DUMMYFUNCTION("""COMPUTED_VALUE"""),0.5)</f>
        <v>0.5</v>
      </c>
      <c r="I138" s="2">
        <f>IFERROR(__xludf.DUMMYFUNCTION("""COMPUTED_VALUE"""),0.5)</f>
        <v>0.5</v>
      </c>
      <c r="J138" s="2">
        <f>IFERROR(__xludf.DUMMYFUNCTION("""COMPUTED_VALUE"""),1.0)</f>
        <v>1</v>
      </c>
      <c r="K138" s="2" t="str">
        <f>IFERROR(__xludf.DUMMYFUNCTION("""COMPUTED_VALUE"""),"5 – High-quality, Clean Bangla speech")</f>
        <v>5 – High-quality, Clean Bangla speech</v>
      </c>
      <c r="L138" s="2" t="str">
        <f>IFERROR(__xludf.DUMMYFUNCTION("""COMPUTED_VALUE"""),"No")</f>
        <v>No</v>
      </c>
    </row>
    <row r="139">
      <c r="A139" s="2" t="str">
        <f>IFERROR(__xludf.DUMMYFUNCTION("""COMPUTED_VALUE"""),"\collect\read\YouTube\TORONGO\_hMXloZOEiw\8349bb0e-5835-492c-b402-eb05844ef2b4.flac")</f>
        <v>\collect\read\YouTube\TORONGO\_hMXloZOEiw\8349bb0e-5835-492c-b402-eb05844ef2b4.flac</v>
      </c>
      <c r="B139" s="2">
        <f>IFERROR(__xludf.DUMMYFUNCTION("""COMPUTED_VALUE"""),30.0)</f>
        <v>30</v>
      </c>
      <c r="C139" s="2" t="str">
        <f>IFERROR(__xludf.DUMMYFUNCTION("""COMPUTED_VALUE"""),"দিয়ে দিয়েছিল কয়েগুণ তৎকালীন পরিবাখ খালের বয়ে চলা আর খালের পাশ দিয়ে নির্মিত নবাবদের সুড়ম্য কিছু স্থাপনা দেখে কেউই চোখ ফেরাতে পারতেন প্রিয় শ্রোতা ঢাকার নবাবী আমল পেরিয়ে এসেছিল ইংরেজ শাসন পরিবার হাল তার সৌন্দর্যের বারোতা বিলিয়ে বয়ে গেছে থেমে থাকেনি ইংরেজ আমল"&amp;" পেরিয়ে এসেছিল পাকিস্তান আম তখনো বহমান ছিল পরিবার ইতোমধ্যে পেরিয়ে গেছে")</f>
        <v>দিয়ে দিয়েছিল কয়েগুণ তৎকালীন পরিবাখ খালের বয়ে চলা আর খালের পাশ দিয়ে নির্মিত নবাবদের সুড়ম্য কিছু স্থাপনা দেখে কেউই চোখ ফেরাতে পারতেন প্রিয় শ্রোতা ঢাকার নবাবী আমল পেরিয়ে এসেছিল ইংরেজ শাসন পরিবার হাল তার সৌন্দর্যের বারোতা বিলিয়ে বয়ে গেছে থেমে থাকেনি ইংরেজ আমল পেরিয়ে এসেছিল পাকিস্তান আম তখনো বহমান ছিল পরিবার ইতোমধ্যে পেরিয়ে গেছে</v>
      </c>
      <c r="D139" s="2" t="str">
        <f>IFERROR(__xludf.DUMMYFUNCTION("""COMPUTED_VALUE"""),"Yes")</f>
        <v>Yes</v>
      </c>
      <c r="E139" s="2" t="str">
        <f>IFERROR(__xludf.DUMMYFUNCTION("""COMPUTED_VALUE"""),"Yes")</f>
        <v>Yes</v>
      </c>
      <c r="F139" s="2" t="str">
        <f>IFERROR(__xludf.DUMMYFUNCTION("""COMPUTED_VALUE"""),"Yes")</f>
        <v>Yes</v>
      </c>
      <c r="G139" s="2">
        <f>IFERROR(__xludf.DUMMYFUNCTION("""COMPUTED_VALUE"""),0.5)</f>
        <v>0.5</v>
      </c>
      <c r="H139" s="2">
        <f>IFERROR(__xludf.DUMMYFUNCTION("""COMPUTED_VALUE"""),1.0)</f>
        <v>1</v>
      </c>
      <c r="I139" s="2">
        <f>IFERROR(__xludf.DUMMYFUNCTION("""COMPUTED_VALUE"""),1.0)</f>
        <v>1</v>
      </c>
      <c r="J139" s="2">
        <f>IFERROR(__xludf.DUMMYFUNCTION("""COMPUTED_VALUE"""),1.0)</f>
        <v>1</v>
      </c>
      <c r="K139" s="2" t="str">
        <f>IFERROR(__xludf.DUMMYFUNCTION("""COMPUTED_VALUE"""),"5 – High-quality, Clean Bangla speech")</f>
        <v>5 – High-quality, Clean Bangla speech</v>
      </c>
      <c r="L139" s="2" t="str">
        <f>IFERROR(__xludf.DUMMYFUNCTION("""COMPUTED_VALUE"""),"No")</f>
        <v>No</v>
      </c>
    </row>
    <row r="140">
      <c r="A140" s="2" t="str">
        <f>IFERROR(__xludf.DUMMYFUNCTION("""COMPUTED_VALUE"""),"\collect\read\YouTube\TORONGO\_hMXloZOEiw\8deb0aa4-e57c-4dc8-9f32-dff93cbe8dcb.flac")</f>
        <v>\collect\read\YouTube\TORONGO\_hMXloZOEiw\8deb0aa4-e57c-4dc8-9f32-dff93cbe8dcb.flac</v>
      </c>
      <c r="B140" s="2">
        <f>IFERROR(__xludf.DUMMYFUNCTION("""COMPUTED_VALUE"""),30.0)</f>
        <v>30</v>
      </c>
      <c r="C140" s="2" t="str">
        <f>IFERROR(__xludf.DUMMYFUNCTION("""COMPUTED_VALUE"""),"প্রত্যেকটা এলাকা এলাকায় মানুষের সাথে যোগাযোগ করেছেন যাহারা অসুস্থ হয়েছেন তাদের সাথে সরাসরি যোগাযোগ করেছেন এবং তাদেরকে যদি হসপিটালে নাওয়া লাগে হাসপাটালে নিয়ে আমরা দিয়েছি এবং তাদের ট্িটমেন্ট র জন্যও আমরা সহযোগিতা করার জন্য চেষ্টা করেছি এবার যে করোনা এই ঘরনা"&amp;"টা একটু অন্যরকম আমরা অবজার্ভেশন করছি আমরা আমাদের এই এলাকার যারা অবস্থান করছেন যারা সাধারণ মানুষ")</f>
        <v>প্রত্যেকটা এলাকা এলাকায় মানুষের সাথে যোগাযোগ করেছেন যাহারা অসুস্থ হয়েছেন তাদের সাথে সরাসরি যোগাযোগ করেছেন এবং তাদেরকে যদি হসপিটালে নাওয়া লাগে হাসপাটালে নিয়ে আমরা দিয়েছি এবং তাদের ট্িটমেন্ট র জন্যও আমরা সহযোগিতা করার জন্য চেষ্টা করেছি এবার যে করোনা এই ঘরনাটা একটু অন্যরকম আমরা অবজার্ভেশন করছি আমরা আমাদের এই এলাকার যারা অবস্থান করছেন যারা সাধারণ মানুষ</v>
      </c>
      <c r="D140" s="2" t="str">
        <f>IFERROR(__xludf.DUMMYFUNCTION("""COMPUTED_VALUE"""),"Yes")</f>
        <v>Yes</v>
      </c>
      <c r="E140" s="2" t="str">
        <f>IFERROR(__xludf.DUMMYFUNCTION("""COMPUTED_VALUE"""),"No")</f>
        <v>No</v>
      </c>
      <c r="F140" s="2" t="str">
        <f>IFERROR(__xludf.DUMMYFUNCTION("""COMPUTED_VALUE"""),"Yes")</f>
        <v>Yes</v>
      </c>
      <c r="G140" s="2">
        <f>IFERROR(__xludf.DUMMYFUNCTION("""COMPUTED_VALUE"""),0.5)</f>
        <v>0.5</v>
      </c>
      <c r="H140" s="2">
        <f>IFERROR(__xludf.DUMMYFUNCTION("""COMPUTED_VALUE"""),1.0)</f>
        <v>1</v>
      </c>
      <c r="I140" s="2">
        <f>IFERROR(__xludf.DUMMYFUNCTION("""COMPUTED_VALUE"""),0.5)</f>
        <v>0.5</v>
      </c>
      <c r="J140" s="2">
        <f>IFERROR(__xludf.DUMMYFUNCTION("""COMPUTED_VALUE"""),1.0)</f>
        <v>1</v>
      </c>
      <c r="K140" s="2" t="str">
        <f>IFERROR(__xludf.DUMMYFUNCTION("""COMPUTED_VALUE"""),"5 – High-quality, Clean Bangla speech")</f>
        <v>5 – High-quality, Clean Bangla speech</v>
      </c>
      <c r="L140" s="2" t="str">
        <f>IFERROR(__xludf.DUMMYFUNCTION("""COMPUTED_VALUE"""),"No")</f>
        <v>No</v>
      </c>
    </row>
    <row r="141">
      <c r="A141" s="2" t="str">
        <f>IFERROR(__xludf.DUMMYFUNCTION("""COMPUTED_VALUE"""),"\collect\read\YouTube\TORONGO\_hMXloZOEiw\8e7f0c92-935f-44c2-9894-f2a4898f9c05.flac")</f>
        <v>\collect\read\YouTube\TORONGO\_hMXloZOEiw\8e7f0c92-935f-44c2-9894-f2a4898f9c05.flac</v>
      </c>
      <c r="B141" s="2">
        <f>IFERROR(__xludf.DUMMYFUNCTION("""COMPUTED_VALUE"""),30.0)</f>
        <v>30</v>
      </c>
      <c r="C141" s="2" t="str">
        <f>IFERROR(__xludf.DUMMYFUNCTION("""COMPUTED_VALUE"""),"পণ্ব এই ধরনের কর্মকান্ডগুলো আমরা এখনো করছি এবং আমরা আমাদের ডাক্তারের সাহায্যে আমরা সবসময় যে রোগীগুলো যেখানে আছে সেই রোগিগুলোকে যোগাযোগে মাধ্যমে ডাক্তার পরামর্শর মাধ্যমে যেখানে যেখানে হসপিটালে নিয়ে যাওয়া দরকার শীর্ষব হসপিটালকে ভর্তি কড়ানো হচ্ছে এবং যেগুলো "&amp;"বাসায় রেখে কিটমেন্ট করা যাচ্ছে সেগুলো ডাক্তারের সাহায্যে সে এটমেন্টগুলো করা হচ্ছে একটু জানতে চাই যে আপনার")</f>
        <v>পণ্ব এই ধরনের কর্মকান্ডগুলো আমরা এখনো করছি এবং আমরা আমাদের ডাক্তারের সাহায্যে আমরা সবসময় যে রোগীগুলো যেখানে আছে সেই রোগিগুলোকে যোগাযোগে মাধ্যমে ডাক্তার পরামর্শর মাধ্যমে যেখানে যেখানে হসপিটালে নিয়ে যাওয়া দরকার শীর্ষব হসপিটালকে ভর্তি কড়ানো হচ্ছে এবং যেগুলো বাসায় রেখে কিটমেন্ট করা যাচ্ছে সেগুলো ডাক্তারের সাহায্যে সে এটমেন্টগুলো করা হচ্ছে একটু জানতে চাই যে আপনার</v>
      </c>
      <c r="D141" s="2" t="str">
        <f>IFERROR(__xludf.DUMMYFUNCTION("""COMPUTED_VALUE"""),"Yes")</f>
        <v>Yes</v>
      </c>
      <c r="E141" s="2" t="str">
        <f>IFERROR(__xludf.DUMMYFUNCTION("""COMPUTED_VALUE"""),"Yes")</f>
        <v>Yes</v>
      </c>
      <c r="F141" s="2" t="str">
        <f>IFERROR(__xludf.DUMMYFUNCTION("""COMPUTED_VALUE"""),"Yes")</f>
        <v>Yes</v>
      </c>
      <c r="G141" s="2">
        <f>IFERROR(__xludf.DUMMYFUNCTION("""COMPUTED_VALUE"""),0.5)</f>
        <v>0.5</v>
      </c>
      <c r="H141" s="2">
        <f>IFERROR(__xludf.DUMMYFUNCTION("""COMPUTED_VALUE"""),0.5)</f>
        <v>0.5</v>
      </c>
      <c r="I141" s="2">
        <f>IFERROR(__xludf.DUMMYFUNCTION("""COMPUTED_VALUE"""),0.5)</f>
        <v>0.5</v>
      </c>
      <c r="J141" s="2">
        <f>IFERROR(__xludf.DUMMYFUNCTION("""COMPUTED_VALUE"""),1.0)</f>
        <v>1</v>
      </c>
      <c r="K141" s="2" t="str">
        <f>IFERROR(__xludf.DUMMYFUNCTION("""COMPUTED_VALUE"""),"5 – High-quality, Clean Bangla speech")</f>
        <v>5 – High-quality, Clean Bangla speech</v>
      </c>
      <c r="L141" s="2" t="str">
        <f>IFERROR(__xludf.DUMMYFUNCTION("""COMPUTED_VALUE"""),"Yes")</f>
        <v>Yes</v>
      </c>
    </row>
    <row r="142">
      <c r="A142" s="2" t="str">
        <f>IFERROR(__xludf.DUMMYFUNCTION("""COMPUTED_VALUE"""),"\collect\read\YouTube\TORONGO\_hMXloZOEiw\8f024172-c409-4742-8705-7fc11be39da0.flac")</f>
        <v>\collect\read\YouTube\TORONGO\_hMXloZOEiw\8f024172-c409-4742-8705-7fc11be39da0.flac</v>
      </c>
      <c r="B142" s="2">
        <f>IFERROR(__xludf.DUMMYFUNCTION("""COMPUTED_VALUE"""),30.0)</f>
        <v>30</v>
      </c>
      <c r="C142" s="2" t="str">
        <f>IFERROR(__xludf.DUMMYFUNCTION("""COMPUTED_VALUE"""),"সেন শামসির মাহমদ শু নতুন করে চেনার অনেক কিছু আছে আমাদের এই মহানগরে হয়তো প্রতিদিন দেখছি আশা যাওয়ার পথে অথবা নামটা শুনছি বারবার তারপরেও জানি না অনেক কিছু আর সেই না জানা কথাগুলো তথ্যগুলো জানব আমরা চেনা অচেনা ঢাকা এই পর্বে স্বাগত আপনাদের সবাইকে সঙ্গে থাকার জন"&amp;"্য আজ আমরা জানব আবাদে দেশের জাতীয় মসজিদ বায়তুল মোকাররম বিষয় ইসলামি দিনে শিক্ষার প্রচার ও প্রসার ইসলামি পুস্তক ও সাময়িককীপ্রক")</f>
        <v>সেন শামসির মাহমদ শু নতুন করে চেনার অনেক কিছু আছে আমাদের এই মহানগরে হয়তো প্রতিদিন দেখছি আশা যাওয়ার পথে অথবা নামটা শুনছি বারবার তারপরেও জানি না অনেক কিছু আর সেই না জানা কথাগুলো তথ্যগুলো জানব আমরা চেনা অচেনা ঢাকা এই পর্বে স্বাগত আপনাদের সবাইকে সঙ্গে থাকার জন্য আজ আমরা জানব আবাদে দেশের জাতীয় মসজিদ বায়তুল মোকাররম বিষয় ইসলামি দিনে শিক্ষার প্রচার ও প্রসার ইসলামি পুস্তক ও সাময়িককীপ্রক</v>
      </c>
      <c r="D142" s="2" t="str">
        <f>IFERROR(__xludf.DUMMYFUNCTION("""COMPUTED_VALUE"""),"Yes")</f>
        <v>Yes</v>
      </c>
      <c r="E142" s="2" t="str">
        <f>IFERROR(__xludf.DUMMYFUNCTION("""COMPUTED_VALUE"""),"No")</f>
        <v>No</v>
      </c>
      <c r="F142" s="2" t="str">
        <f>IFERROR(__xludf.DUMMYFUNCTION("""COMPUTED_VALUE"""),"No")</f>
        <v>No</v>
      </c>
      <c r="G142" s="2">
        <f>IFERROR(__xludf.DUMMYFUNCTION("""COMPUTED_VALUE"""),0.5)</f>
        <v>0.5</v>
      </c>
      <c r="H142" s="2">
        <f>IFERROR(__xludf.DUMMYFUNCTION("""COMPUTED_VALUE"""),1.0)</f>
        <v>1</v>
      </c>
      <c r="I142" s="2">
        <f>IFERROR(__xludf.DUMMYFUNCTION("""COMPUTED_VALUE"""),1.0)</f>
        <v>1</v>
      </c>
      <c r="J142" s="2">
        <f>IFERROR(__xludf.DUMMYFUNCTION("""COMPUTED_VALUE"""),1.0)</f>
        <v>1</v>
      </c>
      <c r="K142" s="2" t="str">
        <f>IFERROR(__xludf.DUMMYFUNCTION("""COMPUTED_VALUE"""),"5 – High-quality, Clean Bangla speech")</f>
        <v>5 – High-quality, Clean Bangla speech</v>
      </c>
      <c r="L142" s="2" t="str">
        <f>IFERROR(__xludf.DUMMYFUNCTION("""COMPUTED_VALUE"""),"No")</f>
        <v>No</v>
      </c>
    </row>
    <row r="143">
      <c r="A143" s="2" t="str">
        <f>IFERROR(__xludf.DUMMYFUNCTION("""COMPUTED_VALUE"""),"\collect\read\YouTube\TORONGO\_hMXloZOEiw\935de46f-72d9-42d0-8a53-81dddfa34d44.flac")</f>
        <v>\collect\read\YouTube\TORONGO\_hMXloZOEiw\935de46f-72d9-42d0-8a53-81dddfa34d44.flac</v>
      </c>
      <c r="B143" s="2">
        <f>IFERROR(__xludf.DUMMYFUNCTION("""COMPUTED_VALUE"""),30.0)</f>
        <v>30</v>
      </c>
      <c r="C143" s="2" t="str">
        <f>IFERROR(__xludf.DUMMYFUNCTION("""COMPUTED_VALUE"""),"করে দিয়ে সেগুলোকে আমরা টিক আরেট ব্যবস্থা এবং তাদের সাথে গিয়ে সে টিকা আজে নাওয়ার পরিস্থিতি যেন তারা কোনো রকম সমস্যা না পড়ে সেগুলো আমরা করি এবারে আমি আপনার সঙ্গে যে বিষয়ে কথা বলতে চাই সে বিষয়টি হচ্ছে যে আপনার ওয়ার্ডের বিভিন্ন সড়কগুলোর কী অবস্থা আছে কনকোন সড়"&amp;"কের সংস্কার কার্যক্রম চলছে আপনা হা জেনে খুশি হবেন এই করোনার কর্মমণ্ডের ভিতরে আমি রাস্তাঘাট বড় করেছি সাধারণ মানুষের জায়গা তাদের")</f>
        <v>করে দিয়ে সেগুলোকে আমরা টিক আরেট ব্যবস্থা এবং তাদের সাথে গিয়ে সে টিকা আজে নাওয়ার পরিস্থিতি যেন তারা কোনো রকম সমস্যা না পড়ে সেগুলো আমরা করি এবারে আমি আপনার সঙ্গে যে বিষয়ে কথা বলতে চাই সে বিষয়টি হচ্ছে যে আপনার ওয়ার্ডের বিভিন্ন সড়কগুলোর কী অবস্থা আছে কনকোন সড়কের সংস্কার কার্যক্রম চলছে আপনা হা জেনে খুশি হবেন এই করোনার কর্মমণ্ডের ভিতরে আমি রাস্তাঘাট বড় করেছি সাধারণ মানুষের জায়গা তাদের</v>
      </c>
      <c r="D143" s="2" t="str">
        <f>IFERROR(__xludf.DUMMYFUNCTION("""COMPUTED_VALUE"""),"Yes")</f>
        <v>Yes</v>
      </c>
      <c r="E143" s="2" t="str">
        <f>IFERROR(__xludf.DUMMYFUNCTION("""COMPUTED_VALUE"""),"No")</f>
        <v>No</v>
      </c>
      <c r="F143" s="2" t="str">
        <f>IFERROR(__xludf.DUMMYFUNCTION("""COMPUTED_VALUE"""),"Yes")</f>
        <v>Yes</v>
      </c>
      <c r="G143" s="2">
        <f>IFERROR(__xludf.DUMMYFUNCTION("""COMPUTED_VALUE"""),0.5)</f>
        <v>0.5</v>
      </c>
      <c r="H143" s="2">
        <f>IFERROR(__xludf.DUMMYFUNCTION("""COMPUTED_VALUE"""),0.5)</f>
        <v>0.5</v>
      </c>
      <c r="I143" s="2">
        <f>IFERROR(__xludf.DUMMYFUNCTION("""COMPUTED_VALUE"""),0.5)</f>
        <v>0.5</v>
      </c>
      <c r="J143" s="2">
        <f>IFERROR(__xludf.DUMMYFUNCTION("""COMPUTED_VALUE"""),1.0)</f>
        <v>1</v>
      </c>
      <c r="K143" s="2" t="str">
        <f>IFERROR(__xludf.DUMMYFUNCTION("""COMPUTED_VALUE"""),"5 – High-quality, Clean Bangla speech")</f>
        <v>5 – High-quality, Clean Bangla speech</v>
      </c>
      <c r="L143" s="2" t="str">
        <f>IFERROR(__xludf.DUMMYFUNCTION("""COMPUTED_VALUE"""),"No")</f>
        <v>No</v>
      </c>
    </row>
    <row r="144">
      <c r="A144" s="2" t="str">
        <f>IFERROR(__xludf.DUMMYFUNCTION("""COMPUTED_VALUE"""),"\collect\read\YouTube\TORONGO\_hMXloZOEiw\95859e4d-1389-4bd3-8898-ddfb3b8c23e8.flac")</f>
        <v>\collect\read\YouTube\TORONGO\_hMXloZOEiw\95859e4d-1389-4bd3-8898-ddfb3b8c23e8.flac</v>
      </c>
      <c r="B144" s="2">
        <f>IFERROR(__xludf.DUMMYFUNCTION("""COMPUTED_VALUE"""),30.0)</f>
        <v>30</v>
      </c>
      <c r="C144" s="2" t="str">
        <f>IFERROR(__xludf.DUMMYFUNCTION("""COMPUTED_VALUE"""),"খালটির প্রবহমান ধারা পরিবারের ভেতর দিয়ে পূর্বদিকে মোড় নিয়ে রমনা পার্কের দিকে চলে গিয়েছিল মাঝি বর্তমানে সোনারগাঁও জনপথের কোনো স্থানে পান্থপদ খাড়ের সঙ্গেও সংযোগ ছিল পরিবর খালের খালের বহমান স্বচ্ছ পানি আর পরিবারের মনোমুগ্ধকর পরিবেশে উদ্ভূদ্ধ হয়ে নবাব খাজা সর"&amp;"িমুল্লাহ খালের পাশে তৈরি করেছিলন বেশ কিছু দৃষ্টিনন্দন সুগম্য দালান কোঠা যা এলাকাটির সৌন্দর্যকে")</f>
        <v>খালটির প্রবহমান ধারা পরিবারের ভেতর দিয়ে পূর্বদিকে মোড় নিয়ে রমনা পার্কের দিকে চলে গিয়েছিল মাঝি বর্তমানে সোনারগাঁও জনপথের কোনো স্থানে পান্থপদ খাড়ের সঙ্গেও সংযোগ ছিল পরিবর খালের খালের বহমান স্বচ্ছ পানি আর পরিবারের মনোমুগ্ধকর পরিবেশে উদ্ভূদ্ধ হয়ে নবাব খাজা সরিমুল্লাহ খালের পাশে তৈরি করেছিলন বেশ কিছু দৃষ্টিনন্দন সুগম্য দালান কোঠা যা এলাকাটির সৌন্দর্যকে</v>
      </c>
      <c r="D144" s="2" t="str">
        <f>IFERROR(__xludf.DUMMYFUNCTION("""COMPUTED_VALUE"""),"Yes")</f>
        <v>Yes</v>
      </c>
      <c r="E144" s="2" t="str">
        <f>IFERROR(__xludf.DUMMYFUNCTION("""COMPUTED_VALUE"""),"No")</f>
        <v>No</v>
      </c>
      <c r="F144" s="2" t="str">
        <f>IFERROR(__xludf.DUMMYFUNCTION("""COMPUTED_VALUE"""),"Yes")</f>
        <v>Yes</v>
      </c>
      <c r="G144" s="2">
        <f>IFERROR(__xludf.DUMMYFUNCTION("""COMPUTED_VALUE"""),0.5)</f>
        <v>0.5</v>
      </c>
      <c r="H144" s="2">
        <f>IFERROR(__xludf.DUMMYFUNCTION("""COMPUTED_VALUE"""),1.0)</f>
        <v>1</v>
      </c>
      <c r="I144" s="2">
        <f>IFERROR(__xludf.DUMMYFUNCTION("""COMPUTED_VALUE"""),0.5)</f>
        <v>0.5</v>
      </c>
      <c r="J144" s="2">
        <f>IFERROR(__xludf.DUMMYFUNCTION("""COMPUTED_VALUE"""),1.0)</f>
        <v>1</v>
      </c>
      <c r="K144" s="2" t="str">
        <f>IFERROR(__xludf.DUMMYFUNCTION("""COMPUTED_VALUE"""),"5 – High-quality, Clean Bangla speech")</f>
        <v>5 – High-quality, Clean Bangla speech</v>
      </c>
      <c r="L144" s="2"/>
    </row>
    <row r="145">
      <c r="A145" s="2" t="str">
        <f>IFERROR(__xludf.DUMMYFUNCTION("""COMPUTED_VALUE"""),"\collect\read\YouTube\TORONGO\_hMXloZOEiw\97f9a413-a0df-42f3-8ffe-02a8676e12d6.flac")</f>
        <v>\collect\read\YouTube\TORONGO\_hMXloZOEiw\97f9a413-a0df-42f3-8ffe-02a8676e12d6.flac</v>
      </c>
      <c r="B145" s="2">
        <f>IFERROR(__xludf.DUMMYFUNCTION("""COMPUTED_VALUE"""),30.0)</f>
        <v>30</v>
      </c>
      <c r="C145" s="2" t="str">
        <f>IFERROR(__xludf.DUMMYFUNCTION("""COMPUTED_VALUE"""),"এই ওয়ার্ডের সাধারণ বাসিন্দা যারা আছে কোভিড নাইনটিনের ঠিকা তারা কিভাবে নিচ্ছেন আমাদের এখানে টিকার বিষয়টা হল রাজার বা হাসপাতালের জোনে এখানে টিকার একটা ব্যবস্থা আছে রেজিস্ট্রেশনের মাধ্যমে এই টিকা গুলো নাা হয় তো এখানে যখন টিকা রেজিস্ট্রেশন করতে পারে না তখন আম"&amp;"রা মুগদা ঐ এরিয়াটা রেজিস্ট্রেশনের মাধ্যমে আমরা টিকেয়ার নেয়ার ব্যবস্থা করে দিয়েছি এবং যারা রেজিস্ট্রেশন করতে সমস্যা হয় সেগুলো আমরা")</f>
        <v>এই ওয়ার্ডের সাধারণ বাসিন্দা যারা আছে কোভিড নাইনটিনের ঠিকা তারা কিভাবে নিচ্ছেন আমাদের এখানে টিকার বিষয়টা হল রাজার বা হাসপাতালের জোনে এখানে টিকার একটা ব্যবস্থা আছে রেজিস্ট্রেশনের মাধ্যমে এই টিকা গুলো নাা হয় তো এখানে যখন টিকা রেজিস্ট্রেশন করতে পারে না তখন আমরা মুগদা ঐ এরিয়াটা রেজিস্ট্রেশনের মাধ্যমে আমরা টিকেয়ার নেয়ার ব্যবস্থা করে দিয়েছি এবং যারা রেজিস্ট্রেশন করতে সমস্যা হয় সেগুলো আমরা</v>
      </c>
      <c r="D145" s="2" t="str">
        <f>IFERROR(__xludf.DUMMYFUNCTION("""COMPUTED_VALUE"""),"Yes")</f>
        <v>Yes</v>
      </c>
      <c r="E145" s="2" t="str">
        <f>IFERROR(__xludf.DUMMYFUNCTION("""COMPUTED_VALUE"""),"No")</f>
        <v>No</v>
      </c>
      <c r="F145" s="2" t="str">
        <f>IFERROR(__xludf.DUMMYFUNCTION("""COMPUTED_VALUE"""),"Yes")</f>
        <v>Yes</v>
      </c>
      <c r="G145" s="2">
        <f>IFERROR(__xludf.DUMMYFUNCTION("""COMPUTED_VALUE"""),0.5)</f>
        <v>0.5</v>
      </c>
      <c r="H145" s="2">
        <f>IFERROR(__xludf.DUMMYFUNCTION("""COMPUTED_VALUE"""),1.0)</f>
        <v>1</v>
      </c>
      <c r="I145" s="2">
        <f>IFERROR(__xludf.DUMMYFUNCTION("""COMPUTED_VALUE"""),0.5)</f>
        <v>0.5</v>
      </c>
      <c r="J145" s="2">
        <f>IFERROR(__xludf.DUMMYFUNCTION("""COMPUTED_VALUE"""),1.0)</f>
        <v>1</v>
      </c>
      <c r="K145" s="2" t="str">
        <f>IFERROR(__xludf.DUMMYFUNCTION("""COMPUTED_VALUE"""),"5 – High-quality, Clean Bangla speech")</f>
        <v>5 – High-quality, Clean Bangla speech</v>
      </c>
      <c r="L145" s="2" t="str">
        <f>IFERROR(__xludf.DUMMYFUNCTION("""COMPUTED_VALUE"""),"No")</f>
        <v>No</v>
      </c>
    </row>
    <row r="146">
      <c r="A146" s="2" t="str">
        <f>IFERROR(__xludf.DUMMYFUNCTION("""COMPUTED_VALUE"""),"\collect\read\YouTube\TORONGO\_hMXloZOEiw\9ab0f148-108c-4d67-b813-549f6f2921a0.flac")</f>
        <v>\collect\read\YouTube\TORONGO\_hMXloZOEiw\9ab0f148-108c-4d67-b813-549f6f2921a0.flac</v>
      </c>
      <c r="B146" s="2">
        <f>IFERROR(__xludf.DUMMYFUNCTION("""COMPUTED_VALUE"""),30.0)</f>
        <v>30</v>
      </c>
      <c r="C146" s="2" t="str">
        <f>IFERROR(__xludf.DUMMYFUNCTION("""COMPUTED_VALUE"""),"হসায়নি মির্জযা ক স ক শিপ্ মহানগরীর সকল শ্রোতাকে শুভেচ্ছাসহ আমন্ত্রণ নগরীর শ্রোতিসিনীর আজকের পর্বে ঢাকা মহানগর কেন্দ্রিক ম্যাগাজিন অনুষ্ঠান মহানগরের প্রতি রবিবারের নিয়মিত আয়োজন নগরী স্রোতুসেনীতে আমরা এ নগরীর কোন নদী পুকুর খাল বা জলাশয়ের অতীত রুব বর্তমান অব"&amp;"স্থা আপনাদের উদ্দেশ্যে উপস্থাপন করে থাকি আমাদের আজকের আয়োজনে আপনাদের জন্য থাকছে মহানগরী ঢাকার মানচিত্র থেকে হারিয়ে যাওয়া")</f>
        <v>হসায়নি মির্জযা ক স ক শিপ্ মহানগরীর সকল শ্রোতাকে শুভেচ্ছাসহ আমন্ত্রণ নগরীর শ্রোতিসিনীর আজকের পর্বে ঢাকা মহানগর কেন্দ্রিক ম্যাগাজিন অনুষ্ঠান মহানগরের প্রতি রবিবারের নিয়মিত আয়োজন নগরী স্রোতুসেনীতে আমরা এ নগরীর কোন নদী পুকুর খাল বা জলাশয়ের অতীত রুব বর্তমান অবস্থা আপনাদের উদ্দেশ্যে উপস্থাপন করে থাকি আমাদের আজকের আয়োজনে আপনাদের জন্য থাকছে মহানগরী ঢাকার মানচিত্র থেকে হারিয়ে যাওয়া</v>
      </c>
      <c r="D146" s="2" t="str">
        <f>IFERROR(__xludf.DUMMYFUNCTION("""COMPUTED_VALUE"""),"Yes")</f>
        <v>Yes</v>
      </c>
      <c r="E146" s="2" t="str">
        <f>IFERROR(__xludf.DUMMYFUNCTION("""COMPUTED_VALUE"""),"No")</f>
        <v>No</v>
      </c>
      <c r="F146" s="2" t="str">
        <f>IFERROR(__xludf.DUMMYFUNCTION("""COMPUTED_VALUE"""),"Yes")</f>
        <v>Yes</v>
      </c>
      <c r="G146" s="2">
        <f>IFERROR(__xludf.DUMMYFUNCTION("""COMPUTED_VALUE"""),0.5)</f>
        <v>0.5</v>
      </c>
      <c r="H146" s="2">
        <f>IFERROR(__xludf.DUMMYFUNCTION("""COMPUTED_VALUE"""),1.0)</f>
        <v>1</v>
      </c>
      <c r="I146" s="2">
        <f>IFERROR(__xludf.DUMMYFUNCTION("""COMPUTED_VALUE"""),0.5)</f>
        <v>0.5</v>
      </c>
      <c r="J146" s="2">
        <f>IFERROR(__xludf.DUMMYFUNCTION("""COMPUTED_VALUE"""),1.0)</f>
        <v>1</v>
      </c>
      <c r="K146" s="2" t="str">
        <f>IFERROR(__xludf.DUMMYFUNCTION("""COMPUTED_VALUE"""),"5 – High-quality, Clean Bangla speech")</f>
        <v>5 – High-quality, Clean Bangla speech</v>
      </c>
      <c r="L146" s="2" t="str">
        <f>IFERROR(__xludf.DUMMYFUNCTION("""COMPUTED_VALUE"""),"No")</f>
        <v>No</v>
      </c>
    </row>
    <row r="147">
      <c r="A147" s="2" t="str">
        <f>IFERROR(__xludf.DUMMYFUNCTION("""COMPUTED_VALUE"""),"\collect\read\YouTube\TORONGO\_hMXloZOEiw\9b2ffa7b-f0a1-4746-aaa2-fc8200ffdf76.flac")</f>
        <v>\collect\read\YouTube\TORONGO\_hMXloZOEiw\9b2ffa7b-f0a1-4746-aaa2-fc8200ffdf76.flac</v>
      </c>
      <c r="B147" s="2">
        <f>IFERROR(__xludf.DUMMYFUNCTION("""COMPUTED_VALUE"""),30.0)</f>
        <v>30</v>
      </c>
      <c r="C147" s="2" t="str">
        <f>IFERROR(__xludf.DUMMYFUNCTION("""COMPUTED_VALUE"""),"এই করোনা কালীন সময়ে এসব ওয়ার্ডে যারা বসবাস করছেন সেইসব সাধারণ বাসিন্দাদের ওয়ার্ড কাইসিল্ডাররা কিভাবে দিক নির্দেশনা দিচ্ছেন সে বিষয়টি আমি কথা বলছি তেরো নম্বর ওয়ার্ডের কাউন্সিলর এমডি এনামুল হক আবুলের সাথে আমি প্রথমে আপনার কাছে জানতে চাইবো যে আপনার এই তেরো ন"&amp;"ম্বর ওয়ার্ডটি কোন কোন এলাকা নিয়ে গঠন করা হয়েছে এই এরিয়াটা হলো রাজারবা চামিলিবার শান্তিনগর নয়া পল্টন পুরনো পল্টন")</f>
        <v>এই করোনা কালীন সময়ে এসব ওয়ার্ডে যারা বসবাস করছেন সেইসব সাধারণ বাসিন্দাদের ওয়ার্ড কাইসিল্ডাররা কিভাবে দিক নির্দেশনা দিচ্ছেন সে বিষয়টি আমি কথা বলছি তেরো নম্বর ওয়ার্ডের কাউন্সিলর এমডি এনামুল হক আবুলের সাথে আমি প্রথমে আপনার কাছে জানতে চাইবো যে আপনার এই তেরো নম্বর ওয়ার্ডটি কোন কোন এলাকা নিয়ে গঠন করা হয়েছে এই এরিয়াটা হলো রাজারবা চামিলিবার শান্তিনগর নয়া পল্টন পুরনো পল্টন</v>
      </c>
      <c r="D147" s="2" t="str">
        <f>IFERROR(__xludf.DUMMYFUNCTION("""COMPUTED_VALUE"""),"Yes")</f>
        <v>Yes</v>
      </c>
      <c r="E147" s="2" t="str">
        <f>IFERROR(__xludf.DUMMYFUNCTION("""COMPUTED_VALUE"""),"No")</f>
        <v>No</v>
      </c>
      <c r="F147" s="2" t="str">
        <f>IFERROR(__xludf.DUMMYFUNCTION("""COMPUTED_VALUE"""),"Yes")</f>
        <v>Yes</v>
      </c>
      <c r="G147" s="2">
        <f>IFERROR(__xludf.DUMMYFUNCTION("""COMPUTED_VALUE"""),1.0)</f>
        <v>1</v>
      </c>
      <c r="H147" s="2">
        <f>IFERROR(__xludf.DUMMYFUNCTION("""COMPUTED_VALUE"""),1.0)</f>
        <v>1</v>
      </c>
      <c r="I147" s="2">
        <f>IFERROR(__xludf.DUMMYFUNCTION("""COMPUTED_VALUE"""),0.5)</f>
        <v>0.5</v>
      </c>
      <c r="J147" s="2">
        <f>IFERROR(__xludf.DUMMYFUNCTION("""COMPUTED_VALUE"""),0.5)</f>
        <v>0.5</v>
      </c>
      <c r="K147" s="2" t="str">
        <f>IFERROR(__xludf.DUMMYFUNCTION("""COMPUTED_VALUE"""),"5 – High-quality, Clean Bangla speech")</f>
        <v>5 – High-quality, Clean Bangla speech</v>
      </c>
      <c r="L147" s="2" t="str">
        <f>IFERROR(__xludf.DUMMYFUNCTION("""COMPUTED_VALUE"""),"No")</f>
        <v>No</v>
      </c>
    </row>
    <row r="148">
      <c r="A148" s="2" t="str">
        <f>IFERROR(__xludf.DUMMYFUNCTION("""COMPUTED_VALUE"""),"\collect\read\YouTube\TORONGO\_hMXloZOEiw\9d7030d0-cfa6-4775-b2cf-d86d71ed0988.flac")</f>
        <v>\collect\read\YouTube\TORONGO\_hMXloZOEiw\9d7030d0-cfa6-4775-b2cf-d86d71ed0988.flac</v>
      </c>
      <c r="B148" s="2">
        <f>IFERROR(__xludf.DUMMYFUNCTION("""COMPUTED_VALUE"""),30.0)</f>
        <v>30</v>
      </c>
      <c r="C148" s="2" t="str">
        <f>IFERROR(__xludf.DUMMYFUNCTION("""COMPUTED_VALUE"""),"কীভাবে আপনার ওয়ার্ডের সাধারণ বাসিন্দারে ঠিক নির্দেশনা দিখ্ছেন সে বিষয়টি যদি একটু বলেন দেখুন হা গত বছর এই মার্চ মাসিন মাননীয় প্রধানমন্ত্রীর দিকনির্দেশনা নিয়ে আমরা মাঠে নামি এবং এই কর্মকাণ্ড গুলো আমাদের কোনো জানা ছিল না তারপরেও মাননীয় প্রধানমন্ত্রী আমাদেরকে"&amp;" যে দিকনির্দেশনা দিয়েছেন সে দিকনির্দেশনা অনুযায়ী আমরা আমাদের অত্র এলাকায় সাধারণ মানুষের পাশে")</f>
        <v>কীভাবে আপনার ওয়ার্ডের সাধারণ বাসিন্দারে ঠিক নির্দেশনা দিখ্ছেন সে বিষয়টি যদি একটু বলেন দেখুন হা গত বছর এই মার্চ মাসিন মাননীয় প্রধানমন্ত্রীর দিকনির্দেশনা নিয়ে আমরা মাঠে নামি এবং এই কর্মকাণ্ড গুলো আমাদের কোনো জানা ছিল না তারপরেও মাননীয় প্রধানমন্ত্রী আমাদেরকে যে দিকনির্দেশনা দিয়েছেন সে দিকনির্দেশনা অনুযায়ী আমরা আমাদের অত্র এলাকায় সাধারণ মানুষের পাশে</v>
      </c>
      <c r="D148" s="2" t="str">
        <f>IFERROR(__xludf.DUMMYFUNCTION("""COMPUTED_VALUE"""),"Yes")</f>
        <v>Yes</v>
      </c>
      <c r="E148" s="2" t="str">
        <f>IFERROR(__xludf.DUMMYFUNCTION("""COMPUTED_VALUE"""),"No")</f>
        <v>No</v>
      </c>
      <c r="F148" s="2" t="str">
        <f>IFERROR(__xludf.DUMMYFUNCTION("""COMPUTED_VALUE"""),"No")</f>
        <v>No</v>
      </c>
      <c r="G148" s="2">
        <f>IFERROR(__xludf.DUMMYFUNCTION("""COMPUTED_VALUE"""),1.0)</f>
        <v>1</v>
      </c>
      <c r="H148" s="2">
        <f>IFERROR(__xludf.DUMMYFUNCTION("""COMPUTED_VALUE"""),1.0)</f>
        <v>1</v>
      </c>
      <c r="I148" s="2">
        <f>IFERROR(__xludf.DUMMYFUNCTION("""COMPUTED_VALUE"""),0.5)</f>
        <v>0.5</v>
      </c>
      <c r="J148" s="2">
        <f>IFERROR(__xludf.DUMMYFUNCTION("""COMPUTED_VALUE"""),1.0)</f>
        <v>1</v>
      </c>
      <c r="K148" s="2" t="str">
        <f>IFERROR(__xludf.DUMMYFUNCTION("""COMPUTED_VALUE"""),"5 – High-quality, Clean Bangla speech")</f>
        <v>5 – High-quality, Clean Bangla speech</v>
      </c>
      <c r="L148" s="2" t="str">
        <f>IFERROR(__xludf.DUMMYFUNCTION("""COMPUTED_VALUE"""),"No")</f>
        <v>No</v>
      </c>
    </row>
    <row r="149">
      <c r="A149" s="2" t="str">
        <f>IFERROR(__xludf.DUMMYFUNCTION("""COMPUTED_VALUE"""),"\collect\read\YouTube\TORONGO\_hMXloZOEiw\a5eb9131-76c3-4bb9-8c59-35bd01729b9d.flac")</f>
        <v>\collect\read\YouTube\TORONGO\_hMXloZOEiw\a5eb9131-76c3-4bb9-8c59-35bd01729b9d.flac</v>
      </c>
      <c r="B149" s="2">
        <f>IFERROR(__xludf.DUMMYFUNCTION("""COMPUTED_VALUE"""),30.0)</f>
        <v>30</v>
      </c>
      <c r="C149" s="2" t="str">
        <f>IFERROR(__xludf.DUMMYFUNCTION("""COMPUTED_VALUE"""),"ইিহা শেষ কথা জানতে নিয়মিত সঙ্গেই থাকুন প্রভাতি ম্যাগাজিন মহানগরের আমরা এখন পালন করছি পবিত্র মাহেরাম জান মাস বছর ঘুরে রহমত মাগফেরাত এবং না জাতে সুযোগ দিতে আসে পবিত্রই মাস আমাদের জীবনে তাই আমাদের জন্য বছরের সবচাইতে গুরুত্বপূর্ণ সময় রমজান মাস এ মাসে আমাদের জ"&amp;"ন্য প্রশিক্ষণের মাসো ঈমানদারদের হলজমি চরিত্রের অধিকারী করে গড়ে তুলতে আল্লা যেসব মৌলিক ইবাদতের ব্যবস্থা করেছেন রমজানে")</f>
        <v>ইিহা শেষ কথা জানতে নিয়মিত সঙ্গেই থাকুন প্রভাতি ম্যাগাজিন মহানগরের আমরা এখন পালন করছি পবিত্র মাহেরাম জান মাস বছর ঘুরে রহমত মাগফেরাত এবং না জাতে সুযোগ দিতে আসে পবিত্রই মাস আমাদের জীবনে তাই আমাদের জন্য বছরের সবচাইতে গুরুত্বপূর্ণ সময় রমজান মাস এ মাসে আমাদের জন্য প্রশিক্ষণের মাসো ঈমানদারদের হলজমি চরিত্রের অধিকারী করে গড়ে তুলতে আল্লা যেসব মৌলিক ইবাদতের ব্যবস্থা করেছেন রমজানে</v>
      </c>
      <c r="D149" s="2" t="str">
        <f>IFERROR(__xludf.DUMMYFUNCTION("""COMPUTED_VALUE"""),"Yes")</f>
        <v>Yes</v>
      </c>
      <c r="E149" s="2" t="str">
        <f>IFERROR(__xludf.DUMMYFUNCTION("""COMPUTED_VALUE"""),"No")</f>
        <v>No</v>
      </c>
      <c r="F149" s="2" t="str">
        <f>IFERROR(__xludf.DUMMYFUNCTION("""COMPUTED_VALUE"""),"Yes")</f>
        <v>Yes</v>
      </c>
      <c r="G149" s="2">
        <f>IFERROR(__xludf.DUMMYFUNCTION("""COMPUTED_VALUE"""),1.0)</f>
        <v>1</v>
      </c>
      <c r="H149" s="2">
        <f>IFERROR(__xludf.DUMMYFUNCTION("""COMPUTED_VALUE"""),0.5)</f>
        <v>0.5</v>
      </c>
      <c r="I149" s="2">
        <f>IFERROR(__xludf.DUMMYFUNCTION("""COMPUTED_VALUE"""),1.0)</f>
        <v>1</v>
      </c>
      <c r="J149" s="2">
        <f>IFERROR(__xludf.DUMMYFUNCTION("""COMPUTED_VALUE"""),0.5)</f>
        <v>0.5</v>
      </c>
      <c r="K149" s="2" t="str">
        <f>IFERROR(__xludf.DUMMYFUNCTION("""COMPUTED_VALUE"""),"5 – High-quality, Clean Bangla speech")</f>
        <v>5 – High-quality, Clean Bangla speech</v>
      </c>
      <c r="L149" s="2" t="str">
        <f>IFERROR(__xludf.DUMMYFUNCTION("""COMPUTED_VALUE"""),"No")</f>
        <v>No</v>
      </c>
    </row>
    <row r="150">
      <c r="A150" s="2" t="str">
        <f>IFERROR(__xludf.DUMMYFUNCTION("""COMPUTED_VALUE"""),"\collect\read\YouTube\TORONGO\_hMXloZOEiw\a935b92d-2485-4741-99cb-b034580a2d42.flac")</f>
        <v>\collect\read\YouTube\TORONGO\_hMXloZOEiw\a935b92d-2485-4741-99cb-b034580a2d42.flac</v>
      </c>
      <c r="B150" s="2">
        <f>IFERROR(__xludf.DUMMYFUNCTION("""COMPUTED_VALUE"""),30.0)</f>
        <v>30</v>
      </c>
      <c r="C150" s="2" t="str">
        <f>IFERROR(__xludf.DUMMYFUNCTION("""COMPUTED_VALUE"""),"সফলতা আসে নিশ্চয়ই না জীবন যাপন সবসময় হুলেল নয় তেমনি সফলতাও কিন্তু রক্তে রাকতি ধরা দেয় না সফলতাকে অর্জন করে নিতে হয় কঠোর পরিশ্রম আত্মবিশ্বাস নিয়ে কাজের সঙ্গে লেগে থাকতে হয় মনে রাখতে হবে এ পৃথিবীতে যারা সফল হয়েছেন তাদের সফলতার পেছনে রয়েছে ভাঙা গড়ার বিরাট ইত"&amp;"িহাস পৃথিবীর সকল ব্যক্তিদের সম্পর্কে আমরা সবাই জানতে চাই জিনতে চাই তাদের হয়তো চিনিও নেই নানা মাধ্যমে")</f>
        <v>সফলতা আসে নিশ্চয়ই না জীবন যাপন সবসময় হুলেল নয় তেমনি সফলতাও কিন্তু রক্তে রাকতি ধরা দেয় না সফলতাকে অর্জন করে নিতে হয় কঠোর পরিশ্রম আত্মবিশ্বাস নিয়ে কাজের সঙ্গে লেগে থাকতে হয় মনে রাখতে হবে এ পৃথিবীতে যারা সফল হয়েছেন তাদের সফলতার পেছনে রয়েছে ভাঙা গড়ার বিরাট ইতিহাস পৃথিবীর সকল ব্যক্তিদের সম্পর্কে আমরা সবাই জানতে চাই জিনতে চাই তাদের হয়তো চিনিও নেই নানা মাধ্যমে</v>
      </c>
      <c r="D150" s="2" t="str">
        <f>IFERROR(__xludf.DUMMYFUNCTION("""COMPUTED_VALUE"""),"Yes")</f>
        <v>Yes</v>
      </c>
      <c r="E150" s="2" t="str">
        <f>IFERROR(__xludf.DUMMYFUNCTION("""COMPUTED_VALUE"""),"Yes")</f>
        <v>Yes</v>
      </c>
      <c r="F150" s="2" t="str">
        <f>IFERROR(__xludf.DUMMYFUNCTION("""COMPUTED_VALUE"""),"Yes")</f>
        <v>Yes</v>
      </c>
      <c r="G150" s="2">
        <f>IFERROR(__xludf.DUMMYFUNCTION("""COMPUTED_VALUE"""),0.5)</f>
        <v>0.5</v>
      </c>
      <c r="H150" s="2">
        <f>IFERROR(__xludf.DUMMYFUNCTION("""COMPUTED_VALUE"""),0.5)</f>
        <v>0.5</v>
      </c>
      <c r="I150" s="2">
        <f>IFERROR(__xludf.DUMMYFUNCTION("""COMPUTED_VALUE"""),0.5)</f>
        <v>0.5</v>
      </c>
      <c r="J150" s="2">
        <f>IFERROR(__xludf.DUMMYFUNCTION("""COMPUTED_VALUE"""),0.5)</f>
        <v>0.5</v>
      </c>
      <c r="K150" s="2" t="str">
        <f>IFERROR(__xludf.DUMMYFUNCTION("""COMPUTED_VALUE"""),"5 – High-quality, Clean Bangla speech")</f>
        <v>5 – High-quality, Clean Bangla speech</v>
      </c>
      <c r="L150" s="2" t="str">
        <f>IFERROR(__xludf.DUMMYFUNCTION("""COMPUTED_VALUE"""),"No")</f>
        <v>No</v>
      </c>
    </row>
    <row r="151">
      <c r="A151" s="2" t="str">
        <f>IFERROR(__xludf.DUMMYFUNCTION("""COMPUTED_VALUE"""),"\collect\read\YouTube\TORONGO\_hMXloZOEiw\ae169b01-9841-410d-b274-49767a47c02f.flac")</f>
        <v>\collect\read\YouTube\TORONGO\_hMXloZOEiw\ae169b01-9841-410d-b274-49767a47c02f.flac</v>
      </c>
      <c r="B151" s="2">
        <f>IFERROR(__xludf.DUMMYFUNCTION("""COMPUTED_VALUE"""),30.0)</f>
        <v>30</v>
      </c>
      <c r="C151" s="2" t="str">
        <f>IFERROR(__xludf.DUMMYFUNCTION("""COMPUTED_VALUE"""),"তাস মুসলিম বেকারদের প্রশিক্ষণের ব্যবস্থা করার কথা চিন্তা করে তৎকালীন পাকিস্তানের বিশিষ্ট শিল্পপতি আব্দুল লতিফ ইব্রাহিম বাওয়ানি ঢাকায় অনেক বড় একটি মসজিদ বানানোর পরিকল্পনা করেন এবো উনিশশো উনষাট সালে বায়তুল মোকাররম মসজিদ সোসাইটি গঠন করে এই পরিকল্পনা বাস্তবায়"&amp;"নের উদ্যোগ নেওয়া হয় সবদিক থেকে আসা যাওয়া সুবিধার কথা ভেবে পুরানো ঢাকা ও নতুন ঢাকার মিলনাস্থল পল্টনে মসজিদটির জন্য আট দশমিক তিন শূন্য একর জায়গা অধিগ্রহণ করা হয়")</f>
        <v>তাস মুসলিম বেকারদের প্রশিক্ষণের ব্যবস্থা করার কথা চিন্তা করে তৎকালীন পাকিস্তানের বিশিষ্ট শিল্পপতি আব্দুল লতিফ ইব্রাহিম বাওয়ানি ঢাকায় অনেক বড় একটি মসজিদ বানানোর পরিকল্পনা করেন এবো উনিশশো উনষাট সালে বায়তুল মোকাররম মসজিদ সোসাইটি গঠন করে এই পরিকল্পনা বাস্তবায়নের উদ্যোগ নেওয়া হয় সবদিক থেকে আসা যাওয়া সুবিধার কথা ভেবে পুরানো ঢাকা ও নতুন ঢাকার মিলনাস্থল পল্টনে মসজিদটির জন্য আট দশমিক তিন শূন্য একর জায়গা অধিগ্রহণ করা হয়</v>
      </c>
      <c r="D151" s="2" t="str">
        <f>IFERROR(__xludf.DUMMYFUNCTION("""COMPUTED_VALUE"""),"Yes")</f>
        <v>Yes</v>
      </c>
      <c r="E151" s="2" t="str">
        <f>IFERROR(__xludf.DUMMYFUNCTION("""COMPUTED_VALUE"""),"No")</f>
        <v>No</v>
      </c>
      <c r="F151" s="2" t="str">
        <f>IFERROR(__xludf.DUMMYFUNCTION("""COMPUTED_VALUE"""),"Yes")</f>
        <v>Yes</v>
      </c>
      <c r="G151" s="2">
        <f>IFERROR(__xludf.DUMMYFUNCTION("""COMPUTED_VALUE"""),1.0)</f>
        <v>1</v>
      </c>
      <c r="H151" s="2">
        <f>IFERROR(__xludf.DUMMYFUNCTION("""COMPUTED_VALUE"""),1.0)</f>
        <v>1</v>
      </c>
      <c r="I151" s="2">
        <f>IFERROR(__xludf.DUMMYFUNCTION("""COMPUTED_VALUE"""),1.0)</f>
        <v>1</v>
      </c>
      <c r="J151" s="2">
        <f>IFERROR(__xludf.DUMMYFUNCTION("""COMPUTED_VALUE"""),0.5)</f>
        <v>0.5</v>
      </c>
      <c r="K151" s="2" t="str">
        <f>IFERROR(__xludf.DUMMYFUNCTION("""COMPUTED_VALUE"""),"5 – High-quality, Clean Bangla speech")</f>
        <v>5 – High-quality, Clean Bangla speech</v>
      </c>
      <c r="L151" s="2" t="str">
        <f>IFERROR(__xludf.DUMMYFUNCTION("""COMPUTED_VALUE"""),"No")</f>
        <v>No</v>
      </c>
    </row>
    <row r="152">
      <c r="A152" s="2" t="str">
        <f>IFERROR(__xludf.DUMMYFUNCTION("""COMPUTED_VALUE"""),"\collect\read\YouTube\TORONGO\_hMXloZOEiw\b2b9ca75-8fee-4555-84a8-3e079a137c2f.flac")</f>
        <v>\collect\read\YouTube\TORONGO\_hMXloZOEiw\b2b9ca75-8fee-4555-84a8-3e079a137c2f.flac</v>
      </c>
      <c r="B152" s="2">
        <f>IFERROR(__xludf.DUMMYFUNCTION("""COMPUTED_VALUE"""),30.0)</f>
        <v>30</v>
      </c>
      <c r="C152" s="2" t="str">
        <f>IFERROR(__xludf.DUMMYFUNCTION("""COMPUTED_VALUE"""),"এর অবস্থান শাহবাগের বর্ধিতাংশ হিসেবে মনোরম এ এলাকাটিতে নবাব খাজা সলিমুল্লা উনিশশ দুই সালে একটি বাগান বাড়ি নির্মাণের কাজ শুরু করেছিলেন নির্মাণকাজ শেষে নবাব সলিমুল্লাহ তাঁর অন্যতম প্রিয় স্ত্রী পেয়ারী বেগমের নামানুসারে বাগান বাড়ির নামকরণ পরিবার করেছিলেন বলে "&amp;"জানা যায় অনেকে আবার মনে করেন নবাব খাজা আহসানউল্লাহর কন্যা পরিমাণুর নামানুসারে পরিবাগের নামকরণ হয়েছিল হানাখন্দে ভরা নির্জন পরিবার এলাকায়")</f>
        <v>এর অবস্থান শাহবাগের বর্ধিতাংশ হিসেবে মনোরম এ এলাকাটিতে নবাব খাজা সলিমুল্লা উনিশশ দুই সালে একটি বাগান বাড়ি নির্মাণের কাজ শুরু করেছিলেন নির্মাণকাজ শেষে নবাব সলিমুল্লাহ তাঁর অন্যতম প্রিয় স্ত্রী পেয়ারী বেগমের নামানুসারে বাগান বাড়ির নামকরণ পরিবার করেছিলেন বলে জানা যায় অনেকে আবার মনে করেন নবাব খাজা আহসানউল্লাহর কন্যা পরিমাণুর নামানুসারে পরিবাগের নামকরণ হয়েছিল হানাখন্দে ভরা নির্জন পরিবার এলাকায়</v>
      </c>
      <c r="D152" s="2" t="str">
        <f>IFERROR(__xludf.DUMMYFUNCTION("""COMPUTED_VALUE"""),"Yes")</f>
        <v>Yes</v>
      </c>
      <c r="E152" s="2" t="str">
        <f>IFERROR(__xludf.DUMMYFUNCTION("""COMPUTED_VALUE"""),"Yes")</f>
        <v>Yes</v>
      </c>
      <c r="F152" s="2" t="str">
        <f>IFERROR(__xludf.DUMMYFUNCTION("""COMPUTED_VALUE"""),"No")</f>
        <v>No</v>
      </c>
      <c r="G152" s="2">
        <f>IFERROR(__xludf.DUMMYFUNCTION("""COMPUTED_VALUE"""),0.5)</f>
        <v>0.5</v>
      </c>
      <c r="H152" s="2">
        <f>IFERROR(__xludf.DUMMYFUNCTION("""COMPUTED_VALUE"""),1.0)</f>
        <v>1</v>
      </c>
      <c r="I152" s="2">
        <f>IFERROR(__xludf.DUMMYFUNCTION("""COMPUTED_VALUE"""),1.0)</f>
        <v>1</v>
      </c>
      <c r="J152" s="2">
        <f>IFERROR(__xludf.DUMMYFUNCTION("""COMPUTED_VALUE"""),1.0)</f>
        <v>1</v>
      </c>
      <c r="K152" s="2" t="str">
        <f>IFERROR(__xludf.DUMMYFUNCTION("""COMPUTED_VALUE"""),"5 – High-quality, Clean Bangla speech")</f>
        <v>5 – High-quality, Clean Bangla speech</v>
      </c>
      <c r="L152" s="2" t="str">
        <f>IFERROR(__xludf.DUMMYFUNCTION("""COMPUTED_VALUE"""),"No")</f>
        <v>No</v>
      </c>
    </row>
    <row r="153">
      <c r="A153" s="2" t="str">
        <f>IFERROR(__xludf.DUMMYFUNCTION("""COMPUTED_VALUE"""),"\collect\read\YouTube\TORONGO\_hMXloZOEiw\b437e7f0-d6af-45b7-b792-48fd8f60ba4f.flac")</f>
        <v>\collect\read\YouTube\TORONGO\_hMXloZOEiw\b437e7f0-d6af-45b7-b792-48fd8f60ba4f.flac</v>
      </c>
      <c r="B153" s="2">
        <f>IFERROR(__xludf.DUMMYFUNCTION("""COMPUTED_VALUE"""),30.0)</f>
        <v>30</v>
      </c>
      <c r="C153" s="2" t="str">
        <f>IFERROR(__xludf.DUMMYFUNCTION("""COMPUTED_VALUE"""),"সিয়াম সাধনা এর অন্যতম তাই রমজানের চাঁদ দেখা থেকে শুরু করে সাওয়ালের চাঁদঠা পর্যন্ত আমরা যেন মহান আল্লাহর নির্ধারিত একটি রুটিন অনুযায়ী জীবন যাপন করি এবং প্রতিমুহূর্তে আমরা যেন মহান সৃষ্টিকর্তার কাছে ক্ষমা প্রার্থনা করি এমনি আহ্বানে এবাড়ই শোনাবো ভক্তিমূলক নজ"&amp;"রুল সঙ্গীত রোজহাশুর আল্লাহ আমার কুর পরিচার শিল্পী ফেরদৌস সি রাহমান ওোরোনা")</f>
        <v>সিয়াম সাধনা এর অন্যতম তাই রমজানের চাঁদ দেখা থেকে শুরু করে সাওয়ালের চাঁদঠা পর্যন্ত আমরা যেন মহান আল্লাহর নির্ধারিত একটি রুটিন অনুযায়ী জীবন যাপন করি এবং প্রতিমুহূর্তে আমরা যেন মহান সৃষ্টিকর্তার কাছে ক্ষমা প্রার্থনা করি এমনি আহ্বানে এবাড়ই শোনাবো ভক্তিমূলক নজরুল সঙ্গীত রোজহাশুর আল্লাহ আমার কুর পরিচার শিল্পী ফেরদৌস সি রাহমান ওোরোনা</v>
      </c>
      <c r="D153" s="2" t="str">
        <f>IFERROR(__xludf.DUMMYFUNCTION("""COMPUTED_VALUE"""),"Yes")</f>
        <v>Yes</v>
      </c>
      <c r="E153" s="2" t="str">
        <f>IFERROR(__xludf.DUMMYFUNCTION("""COMPUTED_VALUE"""),"Yes")</f>
        <v>Yes</v>
      </c>
      <c r="F153" s="2" t="str">
        <f>IFERROR(__xludf.DUMMYFUNCTION("""COMPUTED_VALUE"""),"Yes")</f>
        <v>Yes</v>
      </c>
      <c r="G153" s="2">
        <f>IFERROR(__xludf.DUMMYFUNCTION("""COMPUTED_VALUE"""),0.5)</f>
        <v>0.5</v>
      </c>
      <c r="H153" s="2">
        <f>IFERROR(__xludf.DUMMYFUNCTION("""COMPUTED_VALUE"""),1.0)</f>
        <v>1</v>
      </c>
      <c r="I153" s="2">
        <f>IFERROR(__xludf.DUMMYFUNCTION("""COMPUTED_VALUE"""),1.0)</f>
        <v>1</v>
      </c>
      <c r="J153" s="2">
        <f>IFERROR(__xludf.DUMMYFUNCTION("""COMPUTED_VALUE"""),1.0)</f>
        <v>1</v>
      </c>
      <c r="K153" s="2" t="str">
        <f>IFERROR(__xludf.DUMMYFUNCTION("""COMPUTED_VALUE"""),"5 – High-quality, Clean Bangla speech")</f>
        <v>5 – High-quality, Clean Bangla speech</v>
      </c>
      <c r="L153" s="2" t="str">
        <f>IFERROR(__xludf.DUMMYFUNCTION("""COMPUTED_VALUE"""),"No")</f>
        <v>No</v>
      </c>
    </row>
    <row r="154">
      <c r="A154" s="2" t="str">
        <f>IFERROR(__xludf.DUMMYFUNCTION("""COMPUTED_VALUE"""),"\collect\read\YouTube\TORONGO\_hMXloZOEiw\b7305848-d27a-4099-91e9-95d113de6404.flac")</f>
        <v>\collect\read\YouTube\TORONGO\_hMXloZOEiw\b7305848-d27a-4099-91e9-95d113de6404.flac</v>
      </c>
      <c r="B154" s="2">
        <f>IFERROR(__xludf.DUMMYFUNCTION("""COMPUTED_VALUE"""),30.0)</f>
        <v>30</v>
      </c>
      <c r="C154" s="2" t="str">
        <f>IFERROR(__xludf.DUMMYFUNCTION("""COMPUTED_VALUE"""),"আমাদের মসজিদগুলোতে চেন মাইকের সাহায্যে তাদেরকে সতর্ক করে দেওয়া হয়েছে যে আপনারা আপনাদের মাছ ছাড়া আপনাদের দূরত্ব বজায় রেখে আপনাদের জরুরি কাজ ছাড়া আপনার বাইরে বের হবেন না এবং আপনারা সশ এলাকায় যে কোনো সময় যেকোনো পরিস্থিতির মোকাবেলা করার জন্য আপনারা আমাকে যোগা"&amp;"যোগ করবেন আমি আপনাদের পাশে এসে সেই কর্মকাণ্ডগুলোকে করে দেওয়ার জন্য")</f>
        <v>আমাদের মসজিদগুলোতে চেন মাইকের সাহায্যে তাদেরকে সতর্ক করে দেওয়া হয়েছে যে আপনারা আপনাদের মাছ ছাড়া আপনাদের দূরত্ব বজায় রেখে আপনাদের জরুরি কাজ ছাড়া আপনার বাইরে বের হবেন না এবং আপনারা সশ এলাকায় যে কোনো সময় যেকোনো পরিস্থিতির মোকাবেলা করার জন্য আপনারা আমাকে যোগাযোগ করবেন আমি আপনাদের পাশে এসে সেই কর্মকাণ্ডগুলোকে করে দেওয়ার জন্য</v>
      </c>
      <c r="D154" s="2" t="str">
        <f>IFERROR(__xludf.DUMMYFUNCTION("""COMPUTED_VALUE"""),"Yes")</f>
        <v>Yes</v>
      </c>
      <c r="E154" s="2" t="str">
        <f>IFERROR(__xludf.DUMMYFUNCTION("""COMPUTED_VALUE"""),"No")</f>
        <v>No</v>
      </c>
      <c r="F154" s="2" t="str">
        <f>IFERROR(__xludf.DUMMYFUNCTION("""COMPUTED_VALUE"""),"Yes")</f>
        <v>Yes</v>
      </c>
      <c r="G154" s="2">
        <f>IFERROR(__xludf.DUMMYFUNCTION("""COMPUTED_VALUE"""),0.5)</f>
        <v>0.5</v>
      </c>
      <c r="H154" s="2">
        <f>IFERROR(__xludf.DUMMYFUNCTION("""COMPUTED_VALUE"""),1.0)</f>
        <v>1</v>
      </c>
      <c r="I154" s="2">
        <f>IFERROR(__xludf.DUMMYFUNCTION("""COMPUTED_VALUE"""),1.0)</f>
        <v>1</v>
      </c>
      <c r="J154" s="2">
        <f>IFERROR(__xludf.DUMMYFUNCTION("""COMPUTED_VALUE"""),1.0)</f>
        <v>1</v>
      </c>
      <c r="K154" s="2" t="str">
        <f>IFERROR(__xludf.DUMMYFUNCTION("""COMPUTED_VALUE"""),"5 – High-quality, Clean Bangla speech")</f>
        <v>5 – High-quality, Clean Bangla speech</v>
      </c>
      <c r="L154" s="2" t="str">
        <f>IFERROR(__xludf.DUMMYFUNCTION("""COMPUTED_VALUE"""),"No")</f>
        <v>No</v>
      </c>
    </row>
    <row r="155">
      <c r="A155" s="2" t="str">
        <f>IFERROR(__xludf.DUMMYFUNCTION("""COMPUTED_VALUE"""),"\collect\read\YouTube\TORONGO\_hMXloZOEiw\c8118802-a897-46a7-9d30-6dcb3c0f654d.flac")</f>
        <v>\collect\read\YouTube\TORONGO\_hMXloZOEiw\c8118802-a897-46a7-9d30-6dcb3c0f654d.flac</v>
      </c>
      <c r="B155" s="2">
        <f>IFERROR(__xludf.DUMMYFUNCTION("""COMPUTED_VALUE"""),30.0)</f>
        <v>30</v>
      </c>
      <c r="C155" s="2" t="str">
        <f>IFERROR(__xludf.DUMMYFUNCTION("""COMPUTED_VALUE"""),"রাকুলতা ভালো লাগা ভালোবাসা সবকিছু ঘিরে রাখে একা অলিখিত বন্ধনে তবে শুধু এই দিনটিই না সবার জন্য প্রতিদিন হো এেমন ভালো লাগার ভালোবাসার আজকে দিনটি হয়ে উঠে অন্যরকম সুন্দর একটি সকলের গল্প নতুন করে লেখা হোক আপনার ভালো লাগা ডায়েরিতে ইতিবাচক ভাবনা দিয়ে শুরু করে দি"&amp;"নটা যাই ঘটুক না কেন সহজভাবে সেটা গ্রহণ করুন সামনের আলো ঝলমলে দিনটির দিকে তাকাব এই যেনো হয় সবার ভাবনা")</f>
        <v>রাকুলতা ভালো লাগা ভালোবাসা সবকিছু ঘিরে রাখে একা অলিখিত বন্ধনে তবে শুধু এই দিনটিই না সবার জন্য প্রতিদিন হো এেমন ভালো লাগার ভালোবাসার আজকে দিনটি হয়ে উঠে অন্যরকম সুন্দর একটি সকলের গল্প নতুন করে লেখা হোক আপনার ভালো লাগা ডায়েরিতে ইতিবাচক ভাবনা দিয়ে শুরু করে দিনটা যাই ঘটুক না কেন সহজভাবে সেটা গ্রহণ করুন সামনের আলো ঝলমলে দিনটির দিকে তাকাব এই যেনো হয় সবার ভাবনা</v>
      </c>
      <c r="D155" s="2" t="str">
        <f>IFERROR(__xludf.DUMMYFUNCTION("""COMPUTED_VALUE"""),"Yes")</f>
        <v>Yes</v>
      </c>
      <c r="E155" s="2" t="str">
        <f>IFERROR(__xludf.DUMMYFUNCTION("""COMPUTED_VALUE"""),"No")</f>
        <v>No</v>
      </c>
      <c r="F155" s="2" t="str">
        <f>IFERROR(__xludf.DUMMYFUNCTION("""COMPUTED_VALUE"""),"Yes")</f>
        <v>Yes</v>
      </c>
      <c r="G155" s="2">
        <f>IFERROR(__xludf.DUMMYFUNCTION("""COMPUTED_VALUE"""),0.5)</f>
        <v>0.5</v>
      </c>
      <c r="H155" s="2">
        <f>IFERROR(__xludf.DUMMYFUNCTION("""COMPUTED_VALUE"""),1.0)</f>
        <v>1</v>
      </c>
      <c r="I155" s="2">
        <f>IFERROR(__xludf.DUMMYFUNCTION("""COMPUTED_VALUE"""),0.5)</f>
        <v>0.5</v>
      </c>
      <c r="J155" s="2">
        <f>IFERROR(__xludf.DUMMYFUNCTION("""COMPUTED_VALUE"""),1.0)</f>
        <v>1</v>
      </c>
      <c r="K155" s="2" t="str">
        <f>IFERROR(__xludf.DUMMYFUNCTION("""COMPUTED_VALUE"""),"5 – High-quality, Clean Bangla speech")</f>
        <v>5 – High-quality, Clean Bangla speech</v>
      </c>
      <c r="L155" s="2" t="str">
        <f>IFERROR(__xludf.DUMMYFUNCTION("""COMPUTED_VALUE"""),"No")</f>
        <v>No</v>
      </c>
    </row>
    <row r="156">
      <c r="A156" s="2" t="str">
        <f>IFERROR(__xludf.DUMMYFUNCTION("""COMPUTED_VALUE"""),"\collect\read\YouTube\TORONGO\_hMXloZOEiw\d4610ef7-d898-4656-ae80-efd31d1e07d2.flac")</f>
        <v>\collect\read\YouTube\TORONGO\_hMXloZOEiw\d4610ef7-d898-4656-ae80-efd31d1e07d2.flac</v>
      </c>
      <c r="B156" s="2">
        <f>IFERROR(__xludf.DUMMYFUNCTION("""COMPUTED_VALUE"""),30.0)</f>
        <v>30</v>
      </c>
      <c r="C156" s="2" t="str">
        <f>IFERROR(__xludf.DUMMYFUNCTION("""COMPUTED_VALUE"""),"কথা বলে সে অলিগুলির রাস্তাগুলোু বড় করেছে এবং সেই রাস্তাগুলোকেও আমরা কমপ্লিট করেছি যেমন চামি বিভাগে রাস্তাটা কমপ্লিট করেছি শান্তিনগর পীর হিসেবের যে গলিতে যে রাস্তা শুরু ছিল সেটা বড় করে এটাকে কমপ্লিট করা হয়েছে এবং আগামীতে নয়া পল্টন মসজিদগুলি এবং পল্টন লাইন "&amp;"এই গলির এই দুটা কাজ আমরা শুরু করব এবং আপনারা জেনে শুনে")</f>
        <v>কথা বলে সে অলিগুলির রাস্তাগুলোু বড় করেছে এবং সেই রাস্তাগুলোকেও আমরা কমপ্লিট করেছি যেমন চামি বিভাগে রাস্তাটা কমপ্লিট করেছি শান্তিনগর পীর হিসেবের যে গলিতে যে রাস্তা শুরু ছিল সেটা বড় করে এটাকে কমপ্লিট করা হয়েছে এবং আগামীতে নয়া পল্টন মসজিদগুলি এবং পল্টন লাইন এই গলির এই দুটা কাজ আমরা শুরু করব এবং আপনারা জেনে শুনে</v>
      </c>
      <c r="D156" s="2" t="str">
        <f>IFERROR(__xludf.DUMMYFUNCTION("""COMPUTED_VALUE"""),"Yes")</f>
        <v>Yes</v>
      </c>
      <c r="E156" s="2" t="str">
        <f>IFERROR(__xludf.DUMMYFUNCTION("""COMPUTED_VALUE"""),"No")</f>
        <v>No</v>
      </c>
      <c r="F156" s="2" t="str">
        <f>IFERROR(__xludf.DUMMYFUNCTION("""COMPUTED_VALUE"""),"No")</f>
        <v>No</v>
      </c>
      <c r="G156" s="2">
        <f>IFERROR(__xludf.DUMMYFUNCTION("""COMPUTED_VALUE"""),0.5)</f>
        <v>0.5</v>
      </c>
      <c r="H156" s="2">
        <f>IFERROR(__xludf.DUMMYFUNCTION("""COMPUTED_VALUE"""),1.0)</f>
        <v>1</v>
      </c>
      <c r="I156" s="2">
        <f>IFERROR(__xludf.DUMMYFUNCTION("""COMPUTED_VALUE"""),1.0)</f>
        <v>1</v>
      </c>
      <c r="J156" s="2">
        <f>IFERROR(__xludf.DUMMYFUNCTION("""COMPUTED_VALUE"""),1.0)</f>
        <v>1</v>
      </c>
      <c r="K156" s="2" t="str">
        <f>IFERROR(__xludf.DUMMYFUNCTION("""COMPUTED_VALUE"""),"5 – High-quality, Clean Bangla speech")</f>
        <v>5 – High-quality, Clean Bangla speech</v>
      </c>
      <c r="L156" s="2" t="str">
        <f>IFERROR(__xludf.DUMMYFUNCTION("""COMPUTED_VALUE"""),"No")</f>
        <v>No</v>
      </c>
    </row>
    <row r="157">
      <c r="A157" s="2" t="str">
        <f>IFERROR(__xludf.DUMMYFUNCTION("""COMPUTED_VALUE"""),"\collect\read\YouTube\TORONGO\_hMXloZOEiw\dcafbbae-7047-4d76-afe0-665821aafb83.flac")</f>
        <v>\collect\read\YouTube\TORONGO\_hMXloZOEiw\dcafbbae-7047-4d76-afe0-665821aafb83.flac</v>
      </c>
      <c r="B157" s="2">
        <f>IFERROR(__xludf.DUMMYFUNCTION("""COMPUTED_VALUE"""),30.0)</f>
        <v>30</v>
      </c>
      <c r="C157" s="2" t="str">
        <f>IFERROR(__xludf.DUMMYFUNCTION("""COMPUTED_VALUE"""),"আপনাদের কি কি পরিকল্পনাগুলো রয়েছে আপনি জিনিস গুলি হবে আমার এই এলাকায় আমার দুইটা আইল্যান্ড আছে যে আইল্যান্ডে আমি গাছ লাগিয়েছিলাম এই ভিআইপি রোট এই যেটাকে বলে ফকিরা ফুল থেকে শুরু করে বিজয়নগর অন্ত এই রোটটা নাইট েঙ্গেল মোট পর্যন্ত এই আইল্যান্ডে আমি গাছ লাগিয়েছ"&amp;"ি এবং রাজারবাগের ওই রাস্তায় শান্তিনগর যে ওই রাস্তায় আমি গাছ লাগিয়েছি এবং")</f>
        <v>আপনাদের কি কি পরিকল্পনাগুলো রয়েছে আপনি জিনিস গুলি হবে আমার এই এলাকায় আমার দুইটা আইল্যান্ড আছে যে আইল্যান্ডে আমি গাছ লাগিয়েছিলাম এই ভিআইপি রোট এই যেটাকে বলে ফকিরা ফুল থেকে শুরু করে বিজয়নগর অন্ত এই রোটটা নাইট েঙ্গেল মোট পর্যন্ত এই আইল্যান্ডে আমি গাছ লাগিয়েছি এবং রাজারবাগের ওই রাস্তায় শান্তিনগর যে ওই রাস্তায় আমি গাছ লাগিয়েছি এবং</v>
      </c>
      <c r="D157" s="2" t="str">
        <f>IFERROR(__xludf.DUMMYFUNCTION("""COMPUTED_VALUE"""),"Yes")</f>
        <v>Yes</v>
      </c>
      <c r="E157" s="2" t="str">
        <f>IFERROR(__xludf.DUMMYFUNCTION("""COMPUTED_VALUE"""),"No")</f>
        <v>No</v>
      </c>
      <c r="F157" s="2" t="str">
        <f>IFERROR(__xludf.DUMMYFUNCTION("""COMPUTED_VALUE"""),"Yes")</f>
        <v>Yes</v>
      </c>
      <c r="G157" s="2">
        <f>IFERROR(__xludf.DUMMYFUNCTION("""COMPUTED_VALUE"""),0.5)</f>
        <v>0.5</v>
      </c>
      <c r="H157" s="2">
        <f>IFERROR(__xludf.DUMMYFUNCTION("""COMPUTED_VALUE"""),1.0)</f>
        <v>1</v>
      </c>
      <c r="I157" s="2">
        <f>IFERROR(__xludf.DUMMYFUNCTION("""COMPUTED_VALUE"""),1.0)</f>
        <v>1</v>
      </c>
      <c r="J157" s="2">
        <f>IFERROR(__xludf.DUMMYFUNCTION("""COMPUTED_VALUE"""),1.0)</f>
        <v>1</v>
      </c>
      <c r="K157" s="2" t="str">
        <f>IFERROR(__xludf.DUMMYFUNCTION("""COMPUTED_VALUE"""),"5 – High-quality, Clean Bangla speech")</f>
        <v>5 – High-quality, Clean Bangla speech</v>
      </c>
      <c r="L157" s="2" t="str">
        <f>IFERROR(__xludf.DUMMYFUNCTION("""COMPUTED_VALUE"""),"No")</f>
        <v>No</v>
      </c>
    </row>
    <row r="158">
      <c r="A158" s="2" t="str">
        <f>IFERROR(__xludf.DUMMYFUNCTION("""COMPUTED_VALUE"""),"\collect\read\YouTube\TORONGO\_hMXloZOEiw\de81a16d-a728-4950-8052-cce69241b284.flac")</f>
        <v>\collect\read\YouTube\TORONGO\_hMXloZOEiw\de81a16d-a728-4950-8052-cce69241b284.flac</v>
      </c>
      <c r="B158" s="2">
        <f>IFERROR(__xludf.DUMMYFUNCTION("""COMPUTED_VALUE"""),30.0)</f>
        <v>30</v>
      </c>
      <c r="C158" s="2" t="str">
        <f>IFERROR(__xludf.DUMMYFUNCTION("""COMPUTED_VALUE"""),"ইসলামী পুস্তক ওটুপি আঁতুর তসবির দোকানসহ প্রায় এক হাজার দোকান রয়েছে উনিশশো পঁচাত্তর সালের আটাশে মার্চ থেকে ইসলামিক ফাউন্ডেশন বাংলাদেশ এই মসজিদের রক্ষণাবেক্ষণ করে আসছে এই মসজিদে ঢোকার জন্য বারান্দাগুলিতে তিনটা অশ্ব ষুরাকৃতির খিলান পথ রয়েছে যার মাঝখানেকটা পা"&amp;"শের দুটো থেকে বড় মাঝে ছাদহিন আঙিনা রয়েছে যা প্রধান নামাজের ঘরে আলো বাতাস চলাচলকে নিয়ন্ত্রণ করে তদিকে বারাদা দিয়ে ঘেরা প্রধান নামাজ ঘরের মেহেরাবটির আকৃতি")</f>
        <v>ইসলামী পুস্তক ওটুপি আঁতুর তসবির দোকানসহ প্রায় এক হাজার দোকান রয়েছে উনিশশো পঁচাত্তর সালের আটাশে মার্চ থেকে ইসলামিক ফাউন্ডেশন বাংলাদেশ এই মসজিদের রক্ষণাবেক্ষণ করে আসছে এই মসজিদে ঢোকার জন্য বারান্দাগুলিতে তিনটা অশ্ব ষুরাকৃতির খিলান পথ রয়েছে যার মাঝখানেকটা পাশের দুটো থেকে বড় মাঝে ছাদহিন আঙিনা রয়েছে যা প্রধান নামাজের ঘরে আলো বাতাস চলাচলকে নিয়ন্ত্রণ করে তদিকে বারাদা দিয়ে ঘেরা প্রধান নামাজ ঘরের মেহেরাবটির আকৃতি</v>
      </c>
      <c r="D158" s="2" t="str">
        <f>IFERROR(__xludf.DUMMYFUNCTION("""COMPUTED_VALUE"""),"Yes")</f>
        <v>Yes</v>
      </c>
      <c r="E158" s="2" t="str">
        <f>IFERROR(__xludf.DUMMYFUNCTION("""COMPUTED_VALUE"""),"Yes")</f>
        <v>Yes</v>
      </c>
      <c r="F158" s="2" t="str">
        <f>IFERROR(__xludf.DUMMYFUNCTION("""COMPUTED_VALUE"""),"Yes")</f>
        <v>Yes</v>
      </c>
      <c r="G158" s="2">
        <f>IFERROR(__xludf.DUMMYFUNCTION("""COMPUTED_VALUE"""),0.5)</f>
        <v>0.5</v>
      </c>
      <c r="H158" s="2">
        <f>IFERROR(__xludf.DUMMYFUNCTION("""COMPUTED_VALUE"""),1.0)</f>
        <v>1</v>
      </c>
      <c r="I158" s="2">
        <f>IFERROR(__xludf.DUMMYFUNCTION("""COMPUTED_VALUE"""),1.0)</f>
        <v>1</v>
      </c>
      <c r="J158" s="2">
        <f>IFERROR(__xludf.DUMMYFUNCTION("""COMPUTED_VALUE"""),1.0)</f>
        <v>1</v>
      </c>
      <c r="K158" s="2" t="str">
        <f>IFERROR(__xludf.DUMMYFUNCTION("""COMPUTED_VALUE"""),"5 – High-quality, Clean Bangla speech")</f>
        <v>5 – High-quality, Clean Bangla speech</v>
      </c>
      <c r="L158" s="2" t="str">
        <f>IFERROR(__xludf.DUMMYFUNCTION("""COMPUTED_VALUE"""),"No")</f>
        <v>No</v>
      </c>
    </row>
    <row r="159">
      <c r="A159" s="2" t="str">
        <f>IFERROR(__xludf.DUMMYFUNCTION("""COMPUTED_VALUE"""),"\collect\read\YouTube\TORONGO\_hMXloZOEiw\e1839c2d-5fa6-4a68-a5c3-a0650dbaf563.flac")</f>
        <v>\collect\read\YouTube\TORONGO\_hMXloZOEiw\e1839c2d-5fa6-4a68-a5c3-a0650dbaf563.flac</v>
      </c>
      <c r="B159" s="2">
        <f>IFERROR(__xludf.DUMMYFUNCTION("""COMPUTED_VALUE"""),30.0)</f>
        <v>30</v>
      </c>
      <c r="C159" s="2" t="str">
        <f>IFERROR(__xludf.DUMMYFUNCTION("""COMPUTED_VALUE"""),"টি তখনকার দিনে অযত্ন আর অবহেলায় পতিত ছিল নবাব সলিমুল্লাহ তৎকালীন আমলে এখানে বেশ কয়েকটি পুকুর খনন করেছিলেন এবং খানা খন্দগুলো ভরাট করে পুরো জায়গাটি বাগবাগিচায় রূপান্তরিত করেছিলেন কথিত আছে পরিবার খালের প্রাকৃতিক বহমান ধারাটিকে নবাব সলিমুল্লাহ ঐ এলাকার পানি ন"&amp;"িষ্কাশনের অন্যতম প্রধান মাধ্যম হিসেবে ব্যবহারের ব্যবস্থা করেছিলেন সেই নবাবী আমলে শাহবাগ থেকে প্রবাহিত")</f>
        <v>টি তখনকার দিনে অযত্ন আর অবহেলায় পতিত ছিল নবাব সলিমুল্লাহ তৎকালীন আমলে এখানে বেশ কয়েকটি পুকুর খনন করেছিলেন এবং খানা খন্দগুলো ভরাট করে পুরো জায়গাটি বাগবাগিচায় রূপান্তরিত করেছিলেন কথিত আছে পরিবার খালের প্রাকৃতিক বহমান ধারাটিকে নবাব সলিমুল্লাহ ঐ এলাকার পানি নিষ্কাশনের অন্যতম প্রধান মাধ্যম হিসেবে ব্যবহারের ব্যবস্থা করেছিলেন সেই নবাবী আমলে শাহবাগ থেকে প্রবাহিত</v>
      </c>
      <c r="D159" s="2" t="str">
        <f>IFERROR(__xludf.DUMMYFUNCTION("""COMPUTED_VALUE"""),"Yes")</f>
        <v>Yes</v>
      </c>
      <c r="E159" s="2" t="str">
        <f>IFERROR(__xludf.DUMMYFUNCTION("""COMPUTED_VALUE"""),"No")</f>
        <v>No</v>
      </c>
      <c r="F159" s="2" t="str">
        <f>IFERROR(__xludf.DUMMYFUNCTION("""COMPUTED_VALUE"""),"No")</f>
        <v>No</v>
      </c>
      <c r="G159" s="2">
        <f>IFERROR(__xludf.DUMMYFUNCTION("""COMPUTED_VALUE"""),0.5)</f>
        <v>0.5</v>
      </c>
      <c r="H159" s="2">
        <f>IFERROR(__xludf.DUMMYFUNCTION("""COMPUTED_VALUE"""),1.0)</f>
        <v>1</v>
      </c>
      <c r="I159" s="2">
        <f>IFERROR(__xludf.DUMMYFUNCTION("""COMPUTED_VALUE"""),1.0)</f>
        <v>1</v>
      </c>
      <c r="J159" s="2">
        <f>IFERROR(__xludf.DUMMYFUNCTION("""COMPUTED_VALUE"""),1.0)</f>
        <v>1</v>
      </c>
      <c r="K159" s="2" t="str">
        <f>IFERROR(__xludf.DUMMYFUNCTION("""COMPUTED_VALUE"""),"5 – High-quality, Clean Bangla speech")</f>
        <v>5 – High-quality, Clean Bangla speech</v>
      </c>
      <c r="L159" s="2" t="str">
        <f>IFERROR(__xludf.DUMMYFUNCTION("""COMPUTED_VALUE"""),"No")</f>
        <v>No</v>
      </c>
    </row>
    <row r="160">
      <c r="A160" s="2" t="str">
        <f>IFERROR(__xludf.DUMMYFUNCTION("""COMPUTED_VALUE"""),"\collect\read\YouTube\TORONGO\_hMXloZOEiw\f536c714-c631-4ee6-8cfc-825612eaac1c.flac")</f>
        <v>\collect\read\YouTube\TORONGO\_hMXloZOEiw\f536c714-c631-4ee6-8cfc-825612eaac1c.flac</v>
      </c>
      <c r="B160" s="2">
        <f>IFERROR(__xludf.DUMMYFUNCTION("""COMPUTED_VALUE"""),30.0)</f>
        <v>30</v>
      </c>
      <c r="C160" s="2" t="str">
        <f>IFERROR(__xludf.DUMMYFUNCTION("""COMPUTED_VALUE"""),"বিভিন্ন ছাদে আমরা গাছ লাগিয়েছি এবং এই পত্র এলাকার আমরা সভিযান করার মতন এখানে বিল্ডিং ছাড়া কোনো মাঠ বা কোনো জায়গা খালি জায়গা নাই যার ছাদ বাগান করার জন্য কি আপনি উৎসাহ দিচ্ছে ছাদ বাগান করার জন্য আমি উৎসাও না সাত বাগান করার জন্য আমি নিজে থেকে গাছ লাগিয়েছে এব"&amp;"ং অনেক ছাদে গাছ আছে এবং আমরা যেসব টিকা ছাদে গাছ নাই আমরা সেগুলো লাগানোর চেষ্টা করছি")</f>
        <v>বিভিন্ন ছাদে আমরা গাছ লাগিয়েছি এবং এই পত্র এলাকার আমরা সভিযান করার মতন এখানে বিল্ডিং ছাড়া কোনো মাঠ বা কোনো জায়গা খালি জায়গা নাই যার ছাদ বাগান করার জন্য কি আপনি উৎসাহ দিচ্ছে ছাদ বাগান করার জন্য আমি উৎসাও না সাত বাগান করার জন্য আমি নিজে থেকে গাছ লাগিয়েছে এবং অনেক ছাদে গাছ আছে এবং আমরা যেসব টিকা ছাদে গাছ নাই আমরা সেগুলো লাগানোর চেষ্টা করছি</v>
      </c>
      <c r="D160" s="2" t="str">
        <f>IFERROR(__xludf.DUMMYFUNCTION("""COMPUTED_VALUE"""),"Yes")</f>
        <v>Yes</v>
      </c>
      <c r="E160" s="2" t="str">
        <f>IFERROR(__xludf.DUMMYFUNCTION("""COMPUTED_VALUE"""),"No")</f>
        <v>No</v>
      </c>
      <c r="F160" s="2" t="str">
        <f>IFERROR(__xludf.DUMMYFUNCTION("""COMPUTED_VALUE"""),"Yes")</f>
        <v>Yes</v>
      </c>
      <c r="G160" s="2">
        <f>IFERROR(__xludf.DUMMYFUNCTION("""COMPUTED_VALUE"""),0.5)</f>
        <v>0.5</v>
      </c>
      <c r="H160" s="2">
        <f>IFERROR(__xludf.DUMMYFUNCTION("""COMPUTED_VALUE"""),1.0)</f>
        <v>1</v>
      </c>
      <c r="I160" s="2">
        <f>IFERROR(__xludf.DUMMYFUNCTION("""COMPUTED_VALUE"""),1.0)</f>
        <v>1</v>
      </c>
      <c r="J160" s="2">
        <f>IFERROR(__xludf.DUMMYFUNCTION("""COMPUTED_VALUE"""),1.0)</f>
        <v>1</v>
      </c>
      <c r="K160" s="2" t="str">
        <f>IFERROR(__xludf.DUMMYFUNCTION("""COMPUTED_VALUE"""),"5 – High-quality, Clean Bangla speech")</f>
        <v>5 – High-quality, Clean Bangla speech</v>
      </c>
      <c r="L160" s="2" t="str">
        <f>IFERROR(__xludf.DUMMYFUNCTION("""COMPUTED_VALUE"""),"No")</f>
        <v>No</v>
      </c>
    </row>
    <row r="161">
      <c r="A161" s="2" t="str">
        <f>IFERROR(__xludf.DUMMYFUNCTION("""COMPUTED_VALUE"""),"\collect\read\YouTube\TORONGO\_hMXloZOEiw\ff317332-37c5-4fe9-95bf-8b186080a7f4.flac")</f>
        <v>\collect\read\YouTube\TORONGO\_hMXloZOEiw\ff317332-37c5-4fe9-95bf-8b186080a7f4.flac</v>
      </c>
      <c r="B161" s="2">
        <f>IFERROR(__xludf.DUMMYFUNCTION("""COMPUTED_VALUE"""),30.0)</f>
        <v>30</v>
      </c>
      <c r="C161" s="2" t="str">
        <f>IFERROR(__xludf.DUMMYFUNCTION("""COMPUTED_VALUE"""),"যে কারো কারো নাম উঠবে একই জেলে থেকেও কারো সাথে কারো দেখা হওয়া তো দূরের কথা খবরও পাওয়া সাধনায় নতুন লোকের পক্ষে তবে আমি পুরনো লোক বহুবার এই জেলে অতিথি হয়েছি এই জেলার সকলেই আমাকে জানে নিশ্চয়ই বের করে নেবো ডিআইজি সাহেব জেলের ডেপুটি জেলাসহ সকলকে নিয়ে আসলেন আমা"&amp;"র ঘরের এলেন একটু বসলেন জিজ্ঞাসা করলেন এখন কেমন আছেন বললাম শরীর অনেকটা ভালো কোন অসুবিধা নাই কারণ বলে কোনো লাভ নাই যে আমাকে কেন আলাদা করে কাকি")</f>
        <v>যে কারো কারো নাম উঠবে একই জেলে থেকেও কারো সাথে কারো দেখা হওয়া তো দূরের কথা খবরও পাওয়া সাধনায় নতুন লোকের পক্ষে তবে আমি পুরনো লোক বহুবার এই জেলে অতিথি হয়েছি এই জেলার সকলেই আমাকে জানে নিশ্চয়ই বের করে নেবো ডিআইজি সাহেব জেলের ডেপুটি জেলাসহ সকলকে নিয়ে আসলেন আমার ঘরের এলেন একটু বসলেন জিজ্ঞাসা করলেন এখন কেমন আছেন বললাম শরীর অনেকটা ভালো কোন অসুবিধা নাই কারণ বলে কোনো লাভ নাই যে আমাকে কেন আলাদা করে কাকি</v>
      </c>
      <c r="D161" s="2" t="str">
        <f>IFERROR(__xludf.DUMMYFUNCTION("""COMPUTED_VALUE"""),"Yes")</f>
        <v>Yes</v>
      </c>
      <c r="E161" s="2" t="str">
        <f>IFERROR(__xludf.DUMMYFUNCTION("""COMPUTED_VALUE"""),"No")</f>
        <v>No</v>
      </c>
      <c r="F161" s="2" t="str">
        <f>IFERROR(__xludf.DUMMYFUNCTION("""COMPUTED_VALUE"""),"Yes")</f>
        <v>Yes</v>
      </c>
      <c r="G161" s="2">
        <f>IFERROR(__xludf.DUMMYFUNCTION("""COMPUTED_VALUE"""),0.5)</f>
        <v>0.5</v>
      </c>
      <c r="H161" s="2">
        <f>IFERROR(__xludf.DUMMYFUNCTION("""COMPUTED_VALUE"""),1.0)</f>
        <v>1</v>
      </c>
      <c r="I161" s="2">
        <f>IFERROR(__xludf.DUMMYFUNCTION("""COMPUTED_VALUE"""),1.0)</f>
        <v>1</v>
      </c>
      <c r="J161" s="2">
        <f>IFERROR(__xludf.DUMMYFUNCTION("""COMPUTED_VALUE"""),1.0)</f>
        <v>1</v>
      </c>
      <c r="K161" s="2" t="str">
        <f>IFERROR(__xludf.DUMMYFUNCTION("""COMPUTED_VALUE"""),"5 – High-quality, Clean Bangla speech")</f>
        <v>5 – High-quality, Clean Bangla speech</v>
      </c>
      <c r="L161" s="2" t="str">
        <f>IFERROR(__xludf.DUMMYFUNCTION("""COMPUTED_VALUE"""),"No")</f>
        <v>No</v>
      </c>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IFERROR(__xludf.DUMMYFUNCTION("IMPORTRANGE(""https://docs.google.com/spreadsheets/d/1PtILyyZqZN6xk8xuQzHIvifzPUCl9KOtv8lTbbnVLPo/edit?gid=1682353242#gid=1682353242"", ""collect/spontaneous/Dhaka FM/(বি কুল) BC - PROGRAM!A:L"")"),"Filename")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IFERROR(__xludf.DUMMYFUNCTION("""COMPUTED_VALUE"""),"collect/spontaneous/Dhaka FM/(বি কুল) BC - PROGRAM/012100b5-8f41-4a79-9a24-28b72479bf4a.flac")</f>
        <v>collect/spontaneous/Dhaka FM/(বি কুল) BC - PROGRAM/012100b5-8f41-4a79-9a24-28b72479bf4a.flac</v>
      </c>
      <c r="B2" s="2">
        <f>IFERROR(__xludf.DUMMYFUNCTION("""COMPUTED_VALUE"""),30.0)</f>
        <v>30</v>
      </c>
      <c r="C2" s="2" t="str">
        <f>IFERROR(__xludf.DUMMYFUNCTION("""COMPUTED_VALUE"""),"আ ছে না মাফলার জিনিসটা খুব স্টরয়টা জিনিস গ্রামে গঞ্যে দেখবেন এ যে রাজনীতির মঞ্চ কিন্তু আরো ্ ্ করে দেয় মিছিল মিটিংয়ে নরমালি হাটে যখনই এটা থাকেনা াএদিকে মারলে আরেক শক্তি এদিকে মনলে আরেক শক্তি টেইভাবে গানে একটি পাবতে থাকে দায়ী মোড ডাউনে মিডিতে রাকি না াকানে"&amp;" ো ইমব্েলেন্স হয়ে ে ার পবলে আমাদের এত শক্তিতে হ তবে এটা কিন্তু ঠিক চৌধুরী সাহীব চাচ যদি বামনের পায়ের কাছে এসে গড়াউড়ি খায় তাহলে চাঁদের কী করা থাকে যদিও সারতন উন্য গামারে")</f>
        <v>আ ছে না মাফলার জিনিসটা খুব স্টরয়টা জিনিস গ্রামে গঞ্যে দেখবেন এ যে রাজনীতির মঞ্চ কিন্তু আরো ্ ্ করে দেয় মিছিল মিটিংয়ে নরমালি হাটে যখনই এটা থাকেনা াএদিকে মারলে আরেক শক্তি এদিকে মনলে আরেক শক্তি টেইভাবে গানে একটি পাবতে থাকে দায়ী মোড ডাউনে মিডিতে রাকি না াকানে ো ইমব্েলেন্স হয়ে ে ার পবলে আমাদের এত শক্তিতে হ তবে এটা কিন্তু ঠিক চৌধুরী সাহীব চাচ যদি বামনের পায়ের কাছে এসে গড়াউড়ি খায় তাহলে চাঁদের কী করা থাকে যদিও সারতন উন্য গামারে</v>
      </c>
      <c r="D2" s="2" t="str">
        <f>IFERROR(__xludf.DUMMYFUNCTION("""COMPUTED_VALUE"""),"Yes")</f>
        <v>Yes</v>
      </c>
      <c r="E2" s="2" t="str">
        <f>IFERROR(__xludf.DUMMYFUNCTION("""COMPUTED_VALUE"""),"Yes")</f>
        <v>Yes</v>
      </c>
      <c r="F2" s="2" t="str">
        <f>IFERROR(__xludf.DUMMYFUNCTION("""COMPUTED_VALUE"""),"Yes")</f>
        <v>Yes</v>
      </c>
      <c r="G2" s="2">
        <f>IFERROR(__xludf.DUMMYFUNCTION("""COMPUTED_VALUE"""),0.0)</f>
        <v>0</v>
      </c>
      <c r="H2" s="2">
        <f>IFERROR(__xludf.DUMMYFUNCTION("""COMPUTED_VALUE"""),0.5)</f>
        <v>0.5</v>
      </c>
      <c r="I2" s="2">
        <f>IFERROR(__xludf.DUMMYFUNCTION("""COMPUTED_VALUE"""),0.0)</f>
        <v>0</v>
      </c>
      <c r="J2" s="2">
        <f>IFERROR(__xludf.DUMMYFUNCTION("""COMPUTED_VALUE"""),0.0)</f>
        <v>0</v>
      </c>
      <c r="K2" s="2" t="str">
        <f>IFERROR(__xludf.DUMMYFUNCTION("""COMPUTED_VALUE"""),"5 – High-quality, Clean Bangla speech")</f>
        <v>5 – High-quality, Clean Bangla speech</v>
      </c>
      <c r="L2" s="2" t="str">
        <f>IFERROR(__xludf.DUMMYFUNCTION("""COMPUTED_VALUE"""),"Yes")</f>
        <v>Yes</v>
      </c>
    </row>
    <row r="3">
      <c r="A3" s="2" t="str">
        <f>IFERROR(__xludf.DUMMYFUNCTION("""COMPUTED_VALUE"""),"collect/spontaneous/Dhaka FM/(বি কুল) BC - PROGRAM/02aae299-fedd-4613-b0df-9803e5894af5.flac")</f>
        <v>collect/spontaneous/Dhaka FM/(বি কুল) BC - PROGRAM/02aae299-fedd-4613-b0df-9803e5894af5.flac</v>
      </c>
      <c r="B3" s="2">
        <f>IFERROR(__xludf.DUMMYFUNCTION("""COMPUTED_VALUE"""),30.0)</f>
        <v>30</v>
      </c>
      <c r="C3" s="2" t="str">
        <f>IFERROR(__xludf.DUMMYFUNCTION("""COMPUTED_VALUE"""),"সে থাকে আমেরিকার তো সম্ভবত বায়ান্নটা অঙ্গরাজ্য তা একটা অঙ্গরাজ্যে সে থাকে সেটাধার নাম ম্যাচ ম্যাসার চুত্িশন চু শেষ আমার উৎসারণ আছ ম্যাসেড ম্যাসেড চু সেটস মেসা চুর আচছে আমি এটা না বলি নামটা কে আমার খুব কষ্ট আয় নামটা বলতে তা আমার এক বড় ভাইু বলেছিল যে আমি বল"&amp;"েছিল তোর বোন কইে থাকে এম বলছে ম্যাচার চুছে ছে তখন সে বলছিল যে এই নামটাতে উচ্চারণ করিস না কেনণা তুই তোর বোন কই থাকে বললে তো আমরা সোনে")</f>
        <v>সে থাকে আমেরিকার তো সম্ভবত বায়ান্নটা অঙ্গরাজ্য তা একটা অঙ্গরাজ্যে সে থাকে সেটাধার নাম ম্যাচ ম্যাসার চুত্িশন চু শেষ আমার উৎসারণ আছ ম্যাসেড ম্যাসেড চু সেটস মেসা চুর আচছে আমি এটা না বলি নামটা কে আমার খুব কষ্ট আয় নামটা বলতে তা আমার এক বড় ভাইু বলেছিল যে আমি বলেছিল তোর বোন কইে থাকে এম বলছে ম্যাচার চুছে ছে তখন সে বলছিল যে এই নামটাতে উচ্চারণ করিস না কেনণা তুই তোর বোন কই থাকে বললে তো আমরা সোনে</v>
      </c>
      <c r="D3" s="2" t="str">
        <f>IFERROR(__xludf.DUMMYFUNCTION("""COMPUTED_VALUE"""),"Yes")</f>
        <v>Yes</v>
      </c>
      <c r="E3" s="2" t="str">
        <f>IFERROR(__xludf.DUMMYFUNCTION("""COMPUTED_VALUE"""),"Yes")</f>
        <v>Yes</v>
      </c>
      <c r="F3" s="2" t="str">
        <f>IFERROR(__xludf.DUMMYFUNCTION("""COMPUTED_VALUE"""),"Yes")</f>
        <v>Yes</v>
      </c>
      <c r="G3" s="2">
        <f>IFERROR(__xludf.DUMMYFUNCTION("""COMPUTED_VALUE"""),0.5)</f>
        <v>0.5</v>
      </c>
      <c r="H3" s="2">
        <f>IFERROR(__xludf.DUMMYFUNCTION("""COMPUTED_VALUE"""),0.5)</f>
        <v>0.5</v>
      </c>
      <c r="I3" s="2">
        <f>IFERROR(__xludf.DUMMYFUNCTION("""COMPUTED_VALUE"""),0.5)</f>
        <v>0.5</v>
      </c>
      <c r="J3" s="2">
        <f>IFERROR(__xludf.DUMMYFUNCTION("""COMPUTED_VALUE"""),0.5)</f>
        <v>0.5</v>
      </c>
      <c r="K3" s="2" t="str">
        <f>IFERROR(__xludf.DUMMYFUNCTION("""COMPUTED_VALUE"""),"5 – High-quality, Clean Bangla speech")</f>
        <v>5 – High-quality, Clean Bangla speech</v>
      </c>
      <c r="L3" s="2" t="str">
        <f>IFERROR(__xludf.DUMMYFUNCTION("""COMPUTED_VALUE"""),"Yes")</f>
        <v>Yes</v>
      </c>
    </row>
    <row r="4">
      <c r="A4" s="2" t="str">
        <f>IFERROR(__xludf.DUMMYFUNCTION("""COMPUTED_VALUE"""),"collect/spontaneous/Dhaka FM/(বি কুল) BC - PROGRAM/045d5d4d-cb3b-4e15-8c2a-ca628ac00804.flac")</f>
        <v>collect/spontaneous/Dhaka FM/(বি কুল) BC - PROGRAM/045d5d4d-cb3b-4e15-8c2a-ca628ac00804.flac</v>
      </c>
      <c r="B4" s="2">
        <f>IFERROR(__xludf.DUMMYFUNCTION("""COMPUTED_VALUE"""),30.0)</f>
        <v>30</v>
      </c>
      <c r="C4" s="2" t="str">
        <f>IFERROR(__xludf.DUMMYFUNCTION("""COMPUTED_VALUE"""),"খারাপ লাগছিল তারপ রাতে ঘুম হয়নি তারপর যখন আমি সকাল বেলা নামলাম যে জায়গাটা গাড়ি থামে মার্কুইসলেইন বলে এটাকে নিউ মার্কেটের রখানে ওখানে এসব গালিগোতা থামে সোয়াব পরিবনে মনে আছে একটা বাস থেকে নামার পর আমার মাথা ঘটছিল যে আমি কোথায় যাব আমারখালি মনে হচ্ছিল যে আমি "&amp;"একটু গোসল করে যদি ঘুমাতে পারতাম তাহলে আমার মনে ভালো লাগত এমন একটা সিচুয়েশনের মধ্যে আমি করলাম টা এমন সময় আমাকে অনেক মানুষশেষে টানাটানি শুরু করল এই স্যার আসেন ব্যাটটা নিয়ে যাই র কন")</f>
        <v>খারাপ লাগছিল তারপ রাতে ঘুম হয়নি তারপর যখন আমি সকাল বেলা নামলাম যে জায়গাটা গাড়ি থামে মার্কুইসলেইন বলে এটাকে নিউ মার্কেটের রখানে ওখানে এসব গালিগোতা থামে সোয়াব পরিবনে মনে আছে একটা বাস থেকে নামার পর আমার মাথা ঘটছিল যে আমি কোথায় যাব আমারখালি মনে হচ্ছিল যে আমি একটু গোসল করে যদি ঘুমাতে পারতাম তাহলে আমার মনে ভালো লাগত এমন একটা সিচুয়েশনের মধ্যে আমি করলাম টা এমন সময় আমাকে অনেক মানুষশেষে টানাটানি শুরু করল এই স্যার আসেন ব্যাটটা নিয়ে যাই র কন</v>
      </c>
      <c r="D4" s="2" t="str">
        <f>IFERROR(__xludf.DUMMYFUNCTION("""COMPUTED_VALUE"""),"Yes")</f>
        <v>Yes</v>
      </c>
      <c r="E4" s="2" t="str">
        <f>IFERROR(__xludf.DUMMYFUNCTION("""COMPUTED_VALUE"""),"Yes")</f>
        <v>Yes</v>
      </c>
      <c r="F4" s="2" t="str">
        <f>IFERROR(__xludf.DUMMYFUNCTION("""COMPUTED_VALUE"""),"Yes")</f>
        <v>Yes</v>
      </c>
      <c r="G4" s="2">
        <f>IFERROR(__xludf.DUMMYFUNCTION("""COMPUTED_VALUE"""),0.5)</f>
        <v>0.5</v>
      </c>
      <c r="H4" s="2">
        <f>IFERROR(__xludf.DUMMYFUNCTION("""COMPUTED_VALUE"""),0.5)</f>
        <v>0.5</v>
      </c>
      <c r="I4" s="2">
        <f>IFERROR(__xludf.DUMMYFUNCTION("""COMPUTED_VALUE"""),0.5)</f>
        <v>0.5</v>
      </c>
      <c r="J4" s="2">
        <f>IFERROR(__xludf.DUMMYFUNCTION("""COMPUTED_VALUE"""),0.5)</f>
        <v>0.5</v>
      </c>
      <c r="K4" s="2" t="str">
        <f>IFERROR(__xludf.DUMMYFUNCTION("""COMPUTED_VALUE"""),"5 – High-quality, Clean Bangla speech")</f>
        <v>5 – High-quality, Clean Bangla speech</v>
      </c>
      <c r="L4" s="2" t="str">
        <f>IFERROR(__xludf.DUMMYFUNCTION("""COMPUTED_VALUE"""),"No")</f>
        <v>No</v>
      </c>
    </row>
    <row r="5">
      <c r="A5" s="2" t="str">
        <f>IFERROR(__xludf.DUMMYFUNCTION("""COMPUTED_VALUE"""),"collect/spontaneous/Dhaka FM/(বি কুল) BC - PROGRAM/07e0c636-d616-4fd5-b602-c7d263663339.flac")</f>
        <v>collect/spontaneous/Dhaka FM/(বি কুল) BC - PROGRAM/07e0c636-d616-4fd5-b602-c7d263663339.flac</v>
      </c>
      <c r="B5" s="2">
        <f>IFERROR(__xludf.DUMMYFUNCTION("""COMPUTED_VALUE"""),30.0)</f>
        <v>30</v>
      </c>
      <c r="C5" s="2" t="str">
        <f>IFERROR(__xludf.DUMMYFUNCTION("""COMPUTED_VALUE"""),"তাকে আর রাখতে পারল না চোটটা ছুটে গেল তারপর সে আস্তে আস্তে চলে আসল তাখণ মালিক বলল যে কি ব্যাপার ট ধরতে পেয়েছি স কা হ্যাঁ চোখ ধরতে পেরেছি কয়ত চোর কই কয় না চোর নেই চোরের ফিঙ্গার প্রিন্টটা নিয়ে আসছি কয় দেখি চোরের ফিঙ্গারপ্রিন কোথায় কয়ে যে আমার গালে মানে চোর ত"&amp;"াকে থাপ্পথ দিয়ে চলে গেছে আর কি এই গল্পটা বললাম যে এই জোখসটা বললাম যে এরকম কিন্তু মাঝে মাঝে হয় যখন আপনারা কোনো বাসের মধ্যে স্পেশালি যখন ছিনতাইকারি থাকে তারা কিন্তু ব্লেড রাখে পে")</f>
        <v>তাকে আর রাখতে পারল না চোটটা ছুটে গেল তারপর সে আস্তে আস্তে চলে আসল তাখণ মালিক বলল যে কি ব্যাপার ট ধরতে পেয়েছি স কা হ্যাঁ চোখ ধরতে পেরেছি কয়ত চোর কই কয় না চোর নেই চোরের ফিঙ্গার প্রিন্টটা নিয়ে আসছি কয় দেখি চোরের ফিঙ্গারপ্রিন কোথায় কয়ে যে আমার গালে মানে চোর তাকে থাপ্পথ দিয়ে চলে গেছে আর কি এই গল্পটা বললাম যে এই জোখসটা বললাম যে এরকম কিন্তু মাঝে মাঝে হয় যখন আপনারা কোনো বাসের মধ্যে স্পেশালি যখন ছিনতাইকারি থাকে তারা কিন্তু ব্লেড রাখে পে</v>
      </c>
      <c r="D5" s="2" t="str">
        <f>IFERROR(__xludf.DUMMYFUNCTION("""COMPUTED_VALUE"""),"Yes")</f>
        <v>Yes</v>
      </c>
      <c r="E5" s="2" t="str">
        <f>IFERROR(__xludf.DUMMYFUNCTION("""COMPUTED_VALUE"""),"Yes")</f>
        <v>Yes</v>
      </c>
      <c r="F5" s="2" t="str">
        <f>IFERROR(__xludf.DUMMYFUNCTION("""COMPUTED_VALUE"""),"Yes")</f>
        <v>Yes</v>
      </c>
      <c r="G5" s="2">
        <f>IFERROR(__xludf.DUMMYFUNCTION("""COMPUTED_VALUE"""),0.5)</f>
        <v>0.5</v>
      </c>
      <c r="H5" s="2">
        <f>IFERROR(__xludf.DUMMYFUNCTION("""COMPUTED_VALUE"""),0.5)</f>
        <v>0.5</v>
      </c>
      <c r="I5" s="2">
        <f>IFERROR(__xludf.DUMMYFUNCTION("""COMPUTED_VALUE"""),0.5)</f>
        <v>0.5</v>
      </c>
      <c r="J5" s="2">
        <f>IFERROR(__xludf.DUMMYFUNCTION("""COMPUTED_VALUE"""),0.5)</f>
        <v>0.5</v>
      </c>
      <c r="K5" s="2" t="str">
        <f>IFERROR(__xludf.DUMMYFUNCTION("""COMPUTED_VALUE"""),"5 – High-quality, Clean Bangla speech")</f>
        <v>5 – High-quality, Clean Bangla speech</v>
      </c>
      <c r="L5" s="2" t="str">
        <f>IFERROR(__xludf.DUMMYFUNCTION("""COMPUTED_VALUE"""),"No")</f>
        <v>No</v>
      </c>
    </row>
    <row r="6">
      <c r="A6" s="2" t="str">
        <f>IFERROR(__xludf.DUMMYFUNCTION("""COMPUTED_VALUE"""),"collect/spontaneous/Dhaka FM/(বি কুল) BC - PROGRAM/092a4734-89e1-4e25-85ea-bc8e8e7605fb.flac")</f>
        <v>collect/spontaneous/Dhaka FM/(বি কুল) BC - PROGRAM/092a4734-89e1-4e25-85ea-bc8e8e7605fb.flac</v>
      </c>
      <c r="B6" s="2">
        <f>IFERROR(__xludf.DUMMYFUNCTION("""COMPUTED_VALUE"""),30.0)</f>
        <v>30</v>
      </c>
      <c r="C6" s="2" t="str">
        <f>IFERROR(__xludf.DUMMYFUNCTION("""COMPUTED_VALUE"""),"কী এটা শিখেছিে দেখলাম যে ইউটিউব্যাকের জন হা ভ্যাবিলিস এরকম হাইব্রোসিস এরকম বিভিন্ন জিনিস আমি ভাইে পুরান দার পুরান আমলের মানুষ তো তাইগুলোর সাথে খুব এটা পরিচিত না তারপর একটু বললাম হচ্ছে হায় ফ্যামিলিস আচ্ছা আমার কথা কি আপনাদের ভালো লাগে নাকি বিরক্ত হন আপনারা"&amp;" যদি বিরক্ত হন বলবেন তাহলে আমি এই শোতেয়া রাসব না া বল আর সবাইকে বলতে ভুলে গেলাম আমারা এই শোহের নাম হচ্ছে বিখুল ওকে বিখুল উইথ মুখুন আমি সবসময় আপনাদেরকে দুই একটা কথা দিয়ে একটু")</f>
        <v>কী এটা শিখেছিে দেখলাম যে ইউটিউব্যাকের জন হা ভ্যাবিলিস এরকম হাইব্রোসিস এরকম বিভিন্ন জিনিস আমি ভাইে পুরান দার পুরান আমলের মানুষ তো তাইগুলোর সাথে খুব এটা পরিচিত না তারপর একটু বললাম হচ্ছে হায় ফ্যামিলিস আচ্ছা আমার কথা কি আপনাদের ভালো লাগে নাকি বিরক্ত হন আপনারা যদি বিরক্ত হন বলবেন তাহলে আমি এই শোতেয়া রাসব না া বল আর সবাইকে বলতে ভুলে গেলাম আমারা এই শোহের নাম হচ্ছে বিখুল ওকে বিখুল উইথ মুখুন আমি সবসময় আপনাদেরকে দুই একটা কথা দিয়ে একটু</v>
      </c>
      <c r="D6" s="2" t="str">
        <f>IFERROR(__xludf.DUMMYFUNCTION("""COMPUTED_VALUE"""),"Yes")</f>
        <v>Yes</v>
      </c>
      <c r="E6" s="2" t="str">
        <f>IFERROR(__xludf.DUMMYFUNCTION("""COMPUTED_VALUE"""),"No")</f>
        <v>No</v>
      </c>
      <c r="F6" s="2" t="str">
        <f>IFERROR(__xludf.DUMMYFUNCTION("""COMPUTED_VALUE"""),"Yes")</f>
        <v>Yes</v>
      </c>
      <c r="G6" s="2">
        <f>IFERROR(__xludf.DUMMYFUNCTION("""COMPUTED_VALUE"""),0.5)</f>
        <v>0.5</v>
      </c>
      <c r="H6" s="2">
        <f>IFERROR(__xludf.DUMMYFUNCTION("""COMPUTED_VALUE"""),0.5)</f>
        <v>0.5</v>
      </c>
      <c r="I6" s="2">
        <f>IFERROR(__xludf.DUMMYFUNCTION("""COMPUTED_VALUE"""),0.5)</f>
        <v>0.5</v>
      </c>
      <c r="J6" s="2">
        <f>IFERROR(__xludf.DUMMYFUNCTION("""COMPUTED_VALUE"""),0.5)</f>
        <v>0.5</v>
      </c>
      <c r="K6" s="2" t="str">
        <f>IFERROR(__xludf.DUMMYFUNCTION("""COMPUTED_VALUE"""),"5 – High-quality, Clean Bangla speech")</f>
        <v>5 – High-quality, Clean Bangla speech</v>
      </c>
      <c r="L6" s="2" t="str">
        <f>IFERROR(__xludf.DUMMYFUNCTION("""COMPUTED_VALUE"""),"No")</f>
        <v>No</v>
      </c>
    </row>
    <row r="7">
      <c r="A7" s="2" t="str">
        <f>IFERROR(__xludf.DUMMYFUNCTION("""COMPUTED_VALUE"""),"collect/spontaneous/Dhaka FM/(বি কুল) BC - PROGRAM/0c653c65-fcf9-4a14-9546-06de626894ea.flac")</f>
        <v>collect/spontaneous/Dhaka FM/(বি কুল) BC - PROGRAM/0c653c65-fcf9-4a14-9546-06de626894ea.flac</v>
      </c>
      <c r="B7" s="2">
        <f>IFERROR(__xludf.DUMMYFUNCTION("""COMPUTED_VALUE"""),30.0)</f>
        <v>30</v>
      </c>
      <c r="C7" s="2" t="str">
        <f>IFERROR(__xludf.DUMMYFUNCTION("""COMPUTED_VALUE"""),"যাপনা দেখতে িবা টিভি বোস্ট নে থাকে নরমাল একটা জায়গা বলে দিবি এরকম আমেরিকান নানা রকম জায়গা আছে এক আমেরিকা একটা স্টেট অব নাম আচ্ছে ডেলোয়ার এটা ডেলোয়ার বলে কিন্তু বাংলা ডেলওয়ার ব কি আমাদের দেলোয়ার বাইন আমে অনেকে আছে না তাএরকম ধরেন আমেরিকান একটা স্টেটেন নাম হ"&amp;"চ্ছে ডেলোয়ারম নানা রকম বিভিন্ন বিশ্বের বিভিন্ন জায়গায় বাংলাদেশেও বিভিন্ন জায়গা আছে ওদিন দেখলাম যে একটা জেলার একটা উপজেলার নাম সম্ভবত সার ঘোষি না কি জানে এরকম একটা নাম মানে এরকম অদ্ভুত নামের শেষ নেই")</f>
        <v>যাপনা দেখতে িবা টিভি বোস্ট নে থাকে নরমাল একটা জায়গা বলে দিবি এরকম আমেরিকান নানা রকম জায়গা আছে এক আমেরিকা একটা স্টেট অব নাম আচ্ছে ডেলোয়ার এটা ডেলোয়ার বলে কিন্তু বাংলা ডেলওয়ার ব কি আমাদের দেলোয়ার বাইন আমে অনেকে আছে না তাএরকম ধরেন আমেরিকান একটা স্টেটেন নাম হচ্ছে ডেলোয়ারম নানা রকম বিভিন্ন বিশ্বের বিভিন্ন জায়গায় বাংলাদেশেও বিভিন্ন জায়গা আছে ওদিন দেখলাম যে একটা জেলার একটা উপজেলার নাম সম্ভবত সার ঘোষি না কি জানে এরকম একটা নাম মানে এরকম অদ্ভুত নামের শেষ নেই</v>
      </c>
      <c r="D7" s="2" t="str">
        <f>IFERROR(__xludf.DUMMYFUNCTION("""COMPUTED_VALUE"""),"Yes")</f>
        <v>Yes</v>
      </c>
      <c r="E7" s="2" t="str">
        <f>IFERROR(__xludf.DUMMYFUNCTION("""COMPUTED_VALUE"""),"Yes")</f>
        <v>Yes</v>
      </c>
      <c r="F7" s="2" t="str">
        <f>IFERROR(__xludf.DUMMYFUNCTION("""COMPUTED_VALUE"""),"Yes")</f>
        <v>Yes</v>
      </c>
      <c r="G7" s="2">
        <f>IFERROR(__xludf.DUMMYFUNCTION("""COMPUTED_VALUE"""),0.0)</f>
        <v>0</v>
      </c>
      <c r="H7" s="2">
        <f>IFERROR(__xludf.DUMMYFUNCTION("""COMPUTED_VALUE"""),0.5)</f>
        <v>0.5</v>
      </c>
      <c r="I7" s="2">
        <f>IFERROR(__xludf.DUMMYFUNCTION("""COMPUTED_VALUE"""),0.0)</f>
        <v>0</v>
      </c>
      <c r="J7" s="2">
        <f>IFERROR(__xludf.DUMMYFUNCTION("""COMPUTED_VALUE"""),0.5)</f>
        <v>0.5</v>
      </c>
      <c r="K7" s="2" t="str">
        <f>IFERROR(__xludf.DUMMYFUNCTION("""COMPUTED_VALUE"""),"5 – High-quality, Clean Bangla speech")</f>
        <v>5 – High-quality, Clean Bangla speech</v>
      </c>
      <c r="L7" s="2" t="str">
        <f>IFERROR(__xludf.DUMMYFUNCTION("""COMPUTED_VALUE"""),"Yes")</f>
        <v>Yes</v>
      </c>
    </row>
    <row r="8">
      <c r="A8" s="2" t="str">
        <f>IFERROR(__xludf.DUMMYFUNCTION("""COMPUTED_VALUE"""),"collect/spontaneous/Dhaka FM/(বি কুল) BC - PROGRAM/0d1832ab-e8e0-46ba-91e4-1c4cd471955c.flac")</f>
        <v>collect/spontaneous/Dhaka FM/(বি কুল) BC - PROGRAM/0d1832ab-e8e0-46ba-91e4-1c4cd471955c.flac</v>
      </c>
      <c r="B8" s="2">
        <f>IFERROR(__xludf.DUMMYFUNCTION("""COMPUTED_VALUE"""),30.0)</f>
        <v>30</v>
      </c>
      <c r="C8" s="2" t="str">
        <f>IFERROR(__xludf.DUMMYFUNCTION("""COMPUTED_VALUE"""),"ফলে এমন কিছুই লেখতেও পারি না কিছু একটা লেখতে ইচ্ছে করে মাঝে হঝে কারণ আমি গাড়ের সামনে আটকে লেখলে তো ধয়ে মায়ের একটা মাটিতে পড়বে না তো লেখা যাবে না তেরকম গাড়ির সামনে দিখে বিচারপতি লেখা তখন আমি চিনলাম যে সে বিচারপতির বয়স আবার বলতেছে ওয়াইজ না মানে বিচারপতি তো "&amp;"যে বয়সে হয় ওয়াইফো না আবার সে তার সন্তান এমন কিছু একটাবে তবে বিচারপতি ঘরের মানুষকে না বিচারপতি গাড়ি এটা দেখে বুঝলাম যে সে চিনজ বলল তখন রিকশাল আর প্রতিরুপ্ত ছিল যে আমি আপনার ছিনিয়ে না আপনারে সিননামে কী করো একোয়ারপর সে আবাদ খাপ্পড় দিল া")</f>
        <v>ফলে এমন কিছুই লেখতেও পারি না কিছু একটা লেখতে ইচ্ছে করে মাঝে হঝে কারণ আমি গাড়ের সামনে আটকে লেখলে তো ধয়ে মায়ের একটা মাটিতে পড়বে না তো লেখা যাবে না তেরকম গাড়ির সামনে দিখে বিচারপতি লেখা তখন আমি চিনলাম যে সে বিচারপতির বয়স আবার বলতেছে ওয়াইজ না মানে বিচারপতি তো যে বয়সে হয় ওয়াইফো না আবার সে তার সন্তান এমন কিছু একটাবে তবে বিচারপতি ঘরের মানুষকে না বিচারপতি গাড়ি এটা দেখে বুঝলাম যে সে চিনজ বলল তখন রিকশাল আর প্রতিরুপ্ত ছিল যে আমি আপনার ছিনিয়ে না আপনারে সিননামে কী করো একোয়ারপর সে আবাদ খাপ্পড় দিল া</v>
      </c>
      <c r="D8" s="2" t="str">
        <f>IFERROR(__xludf.DUMMYFUNCTION("""COMPUTED_VALUE"""),"Yes")</f>
        <v>Yes</v>
      </c>
      <c r="E8" s="2" t="str">
        <f>IFERROR(__xludf.DUMMYFUNCTION("""COMPUTED_VALUE"""),"Yes")</f>
        <v>Yes</v>
      </c>
      <c r="F8" s="2" t="str">
        <f>IFERROR(__xludf.DUMMYFUNCTION("""COMPUTED_VALUE"""),"Yes")</f>
        <v>Yes</v>
      </c>
      <c r="G8" s="2">
        <f>IFERROR(__xludf.DUMMYFUNCTION("""COMPUTED_VALUE"""),0.0)</f>
        <v>0</v>
      </c>
      <c r="H8" s="2">
        <f>IFERROR(__xludf.DUMMYFUNCTION("""COMPUTED_VALUE"""),0.0)</f>
        <v>0</v>
      </c>
      <c r="I8" s="2">
        <f>IFERROR(__xludf.DUMMYFUNCTION("""COMPUTED_VALUE"""),0.0)</f>
        <v>0</v>
      </c>
      <c r="J8" s="2">
        <f>IFERROR(__xludf.DUMMYFUNCTION("""COMPUTED_VALUE"""),0.5)</f>
        <v>0.5</v>
      </c>
      <c r="K8" s="2" t="str">
        <f>IFERROR(__xludf.DUMMYFUNCTION("""COMPUTED_VALUE"""),"5 – High-quality, Clean Bangla speech")</f>
        <v>5 – High-quality, Clean Bangla speech</v>
      </c>
      <c r="L8" s="2" t="str">
        <f>IFERROR(__xludf.DUMMYFUNCTION("""COMPUTED_VALUE"""),"No")</f>
        <v>No</v>
      </c>
    </row>
    <row r="9">
      <c r="A9" s="2" t="str">
        <f>IFERROR(__xludf.DUMMYFUNCTION("""COMPUTED_VALUE"""),"collect/spontaneous/Dhaka FM/(বি কুল) BC - PROGRAM/0e8f9e7d-2061-4149-82c0-48397a5e35cb.flac")</f>
        <v>collect/spontaneous/Dhaka FM/(বি কুল) BC - PROGRAM/0e8f9e7d-2061-4149-82c0-48397a5e35cb.flac</v>
      </c>
      <c r="B9" s="2">
        <f>IFERROR(__xludf.DUMMYFUNCTION("""COMPUTED_VALUE"""),30.0)</f>
        <v>30</v>
      </c>
      <c r="C9" s="2" t="str">
        <f>IFERROR(__xludf.DUMMYFUNCTION("""COMPUTED_VALUE"""),"ামিটা আরো বেশি ছিল দামরা ক্লাসের মধ্যে দুষ্টা আমি করতাম তেমন করতে করতে আমার এক বন্ধু তার নাম মনে পড়ছে না সে করল কী ফ্ল্াইং্কিক মারে না তখন বিভিন্ন আমরা করতাম কি ধরেন জাভেদ মিয়ানদাত খেলছে কেমন ব্যাটিংয়ের স্টাইল প্র্যাক্টিস করতাম টাপরে বিভিন্ন কুনফু ছবি দেখ"&amp;"ে এসে আমরা রকম খালি উনিয়া আাতেু কু মারা মারি করতাম হয় এয আজকে যা মায়ারি ভাইর কুমারটা ভাব তা আমার এক বন্ধু এসে করল কি ওই আমাকে মারে ওকে মারে ধাম ধূম মাটছে তা মারতে মারতে ও করল কি ব্ল্যাক বোর্ডের মধ্যে")</f>
        <v>ামিটা আরো বেশি ছিল দামরা ক্লাসের মধ্যে দুষ্টা আমি করতাম তেমন করতে করতে আমার এক বন্ধু তার নাম মনে পড়ছে না সে করল কী ফ্ল্াইং্কিক মারে না তখন বিভিন্ন আমরা করতাম কি ধরেন জাভেদ মিয়ানদাত খেলছে কেমন ব্যাটিংয়ের স্টাইল প্র্যাক্টিস করতাম টাপরে বিভিন্ন কুনফু ছবি দেখে এসে আমরা রকম খালি উনিয়া আাতেু কু মারা মারি করতাম হয় এয আজকে যা মায়ারি ভাইর কুমারটা ভাব তা আমার এক বন্ধু এসে করল কি ওই আমাকে মারে ওকে মারে ধাম ধূম মাটছে তা মারতে মারতে ও করল কি ব্ল্যাক বোর্ডের মধ্যে</v>
      </c>
      <c r="D9" s="2" t="str">
        <f>IFERROR(__xludf.DUMMYFUNCTION("""COMPUTED_VALUE"""),"Yes")</f>
        <v>Yes</v>
      </c>
      <c r="E9" s="2" t="str">
        <f>IFERROR(__xludf.DUMMYFUNCTION("""COMPUTED_VALUE"""),"Yes")</f>
        <v>Yes</v>
      </c>
      <c r="F9" s="2" t="str">
        <f>IFERROR(__xludf.DUMMYFUNCTION("""COMPUTED_VALUE"""),"Yes")</f>
        <v>Yes</v>
      </c>
      <c r="G9" s="2">
        <f>IFERROR(__xludf.DUMMYFUNCTION("""COMPUTED_VALUE"""),0.0)</f>
        <v>0</v>
      </c>
      <c r="H9" s="2">
        <f>IFERROR(__xludf.DUMMYFUNCTION("""COMPUTED_VALUE"""),0.5)</f>
        <v>0.5</v>
      </c>
      <c r="I9" s="2">
        <f>IFERROR(__xludf.DUMMYFUNCTION("""COMPUTED_VALUE"""),0.0)</f>
        <v>0</v>
      </c>
      <c r="J9" s="2">
        <f>IFERROR(__xludf.DUMMYFUNCTION("""COMPUTED_VALUE"""),0.5)</f>
        <v>0.5</v>
      </c>
      <c r="K9" s="2" t="str">
        <f>IFERROR(__xludf.DUMMYFUNCTION("""COMPUTED_VALUE"""),"5 – High-quality, Clean Bangla speech")</f>
        <v>5 – High-quality, Clean Bangla speech</v>
      </c>
      <c r="L9" s="2" t="str">
        <f>IFERROR(__xludf.DUMMYFUNCTION("""COMPUTED_VALUE"""),"Yes")</f>
        <v>Yes</v>
      </c>
    </row>
    <row r="10">
      <c r="A10" s="2" t="str">
        <f>IFERROR(__xludf.DUMMYFUNCTION("""COMPUTED_VALUE"""),"collect/spontaneous/Dhaka FM/(বি কুল) BC - PROGRAM/0fd33cb7-8597-4230-b7fe-9ee83a4e75a5.flac")</f>
        <v>collect/spontaneous/Dhaka FM/(বি কুল) BC - PROGRAM/0fd33cb7-8597-4230-b7fe-9ee83a4e75a5.flac</v>
      </c>
      <c r="B10" s="2">
        <f>IFERROR(__xludf.DUMMYFUNCTION("""COMPUTED_VALUE"""),30.0)</f>
        <v>30</v>
      </c>
      <c r="C10" s="2" t="str">
        <f>IFERROR(__xludf.DUMMYFUNCTION("""COMPUTED_VALUE"""),"দরকম আজকে অনেক জ্ঞান দিলাম জ্ঞান সংস্থার পক্ষ থেকে সেই সেই ট্যুলিস করল কি ট্যুরিস্ট স্পটে গেল বেড়াতে তা তারপর সে একটা হোটেলে ঢুকে একটা ডিম পোঁজ আর একটা চা খেল খাওয়ার পর তার বিল আসলো পঞ্চাশ টাকা তা সে একটু বিরক্ত হয় গেল একটা ডিমের দাম কত একটা ডিম আরের কাছা"&amp;" খেলাম পঞ্চাশটা করে না কি সে তখন পেয়ারাকে ডাকদি দেয় তোমাদের এখানে কি ডিম পাওয়া যায় না একটা ডিমের দাম পঞ্চাশ টাকা হয় এক কাপ চার একটা ডিম তুমি পঞ্চাশ টাকা নিয়েছ তখন ওই হোটেলে যে বয়াটা ছিল সে বলল যে স্যার এখানে ডিম পাওয়া যায় কিন্তু ্যুরিজ পাওয়া যায় না অনেক প"&amp;"্ুলি")</f>
        <v>দরকম আজকে অনেক জ্ঞান দিলাম জ্ঞান সংস্থার পক্ষ থেকে সেই সেই ট্যুলিস করল কি ট্যুরিস্ট স্পটে গেল বেড়াতে তা তারপর সে একটা হোটেলে ঢুকে একটা ডিম পোঁজ আর একটা চা খেল খাওয়ার পর তার বিল আসলো পঞ্চাশ টাকা তা সে একটু বিরক্ত হয় গেল একটা ডিমের দাম কত একটা ডিম আরের কাছা খেলাম পঞ্চাশটা করে না কি সে তখন পেয়ারাকে ডাকদি দেয় তোমাদের এখানে কি ডিম পাওয়া যায় না একটা ডিমের দাম পঞ্চাশ টাকা হয় এক কাপ চার একটা ডিম তুমি পঞ্চাশ টাকা নিয়েছ তখন ওই হোটেলে যে বয়াটা ছিল সে বলল যে স্যার এখানে ডিম পাওয়া যায় কিন্তু ্যুরিজ পাওয়া যায় না অনেক প্ুলি</v>
      </c>
      <c r="D10" s="2" t="str">
        <f>IFERROR(__xludf.DUMMYFUNCTION("""COMPUTED_VALUE"""),"Yes")</f>
        <v>Yes</v>
      </c>
      <c r="E10" s="2" t="str">
        <f>IFERROR(__xludf.DUMMYFUNCTION("""COMPUTED_VALUE"""),"Yes")</f>
        <v>Yes</v>
      </c>
      <c r="F10" s="2" t="str">
        <f>IFERROR(__xludf.DUMMYFUNCTION("""COMPUTED_VALUE"""),"Yes")</f>
        <v>Yes</v>
      </c>
      <c r="G10" s="2">
        <f>IFERROR(__xludf.DUMMYFUNCTION("""COMPUTED_VALUE"""),0.5)</f>
        <v>0.5</v>
      </c>
      <c r="H10" s="2">
        <f>IFERROR(__xludf.DUMMYFUNCTION("""COMPUTED_VALUE"""),0.5)</f>
        <v>0.5</v>
      </c>
      <c r="I10" s="2">
        <f>IFERROR(__xludf.DUMMYFUNCTION("""COMPUTED_VALUE"""),0.5)</f>
        <v>0.5</v>
      </c>
      <c r="J10" s="2">
        <f>IFERROR(__xludf.DUMMYFUNCTION("""COMPUTED_VALUE"""),0.5)</f>
        <v>0.5</v>
      </c>
      <c r="K10" s="2" t="str">
        <f>IFERROR(__xludf.DUMMYFUNCTION("""COMPUTED_VALUE"""),"5 – High-quality, Clean Bangla speech")</f>
        <v>5 – High-quality, Clean Bangla speech</v>
      </c>
      <c r="L10" s="2" t="str">
        <f>IFERROR(__xludf.DUMMYFUNCTION("""COMPUTED_VALUE"""),"Yes")</f>
        <v>Yes</v>
      </c>
    </row>
    <row r="11">
      <c r="A11" s="2" t="str">
        <f>IFERROR(__xludf.DUMMYFUNCTION("""COMPUTED_VALUE"""),"collect/spontaneous/Dhaka FM/(বি কুল) BC - PROGRAM/107e2a83-a91e-43fc-9459-8776e07a7dec.flac")</f>
        <v>collect/spontaneous/Dhaka FM/(বি কুল) BC - PROGRAM/107e2a83-a91e-43fc-9459-8776e07a7dec.flac</v>
      </c>
      <c r="B11" s="2">
        <f>IFERROR(__xludf.DUMMYFUNCTION("""COMPUTED_VALUE"""),30.0)</f>
        <v>30</v>
      </c>
      <c r="C11" s="2" t="str">
        <f>IFERROR(__xludf.DUMMYFUNCTION("""COMPUTED_VALUE"""),"তাকে একটু সাবধানে থাকবেন যে এগুলো কখনো জ্র হলে কিন্তু মানুষের একটু মাথা একটু বিকৃত ঘটে যায় যাা আমি জ্বর হলে আবুল তাবল বুকতে থাকি প্রলাভ বুকতে থাকি তো জ্বর হলে সাবধান থাকবেন যে প্রাকতন প্রেমিকার কথা যেন মনে না চলে আসে মুখের মধ্যে না চলে আসে চিন্তা করেন যে "&amp;"নিতু বলে কেমন মার খেল ভাবির নাম ছিল জলি ওকে তা আজকে মতো কি শেষ করব নার একটা গল্প বলে যাই আরেকটা গল্প বলে যে আজকে আপনাদেরকে এটা একটা সত্যি ঘটনা আমার ছোটবেলার ঘটনায়")</f>
        <v>তাকে একটু সাবধানে থাকবেন যে এগুলো কখনো জ্র হলে কিন্তু মানুষের একটু মাথা একটু বিকৃত ঘটে যায় যাা আমি জ্বর হলে আবুল তাবল বুকতে থাকি প্রলাভ বুকতে থাকি তো জ্বর হলে সাবধান থাকবেন যে প্রাকতন প্রেমিকার কথা যেন মনে না চলে আসে মুখের মধ্যে না চলে আসে চিন্তা করেন যে নিতু বলে কেমন মার খেল ভাবির নাম ছিল জলি ওকে তা আজকে মতো কি শেষ করব নার একটা গল্প বলে যাই আরেকটা গল্প বলে যে আজকে আপনাদেরকে এটা একটা সত্যি ঘটনা আমার ছোটবেলার ঘটনায়</v>
      </c>
      <c r="D11" s="2" t="str">
        <f>IFERROR(__xludf.DUMMYFUNCTION("""COMPUTED_VALUE"""),"Yes")</f>
        <v>Yes</v>
      </c>
      <c r="E11" s="2" t="str">
        <f>IFERROR(__xludf.DUMMYFUNCTION("""COMPUTED_VALUE"""),"No")</f>
        <v>No</v>
      </c>
      <c r="F11" s="2" t="str">
        <f>IFERROR(__xludf.DUMMYFUNCTION("""COMPUTED_VALUE"""),"Yes")</f>
        <v>Yes</v>
      </c>
      <c r="G11" s="2">
        <f>IFERROR(__xludf.DUMMYFUNCTION("""COMPUTED_VALUE"""),0.5)</f>
        <v>0.5</v>
      </c>
      <c r="H11" s="2">
        <f>IFERROR(__xludf.DUMMYFUNCTION("""COMPUTED_VALUE"""),1.0)</f>
        <v>1</v>
      </c>
      <c r="I11" s="2">
        <f>IFERROR(__xludf.DUMMYFUNCTION("""COMPUTED_VALUE"""),0.5)</f>
        <v>0.5</v>
      </c>
      <c r="J11" s="2">
        <f>IFERROR(__xludf.DUMMYFUNCTION("""COMPUTED_VALUE"""),1.0)</f>
        <v>1</v>
      </c>
      <c r="K11" s="2" t="str">
        <f>IFERROR(__xludf.DUMMYFUNCTION("""COMPUTED_VALUE"""),"5 – High-quality, Clean Bangla speech")</f>
        <v>5 – High-quality, Clean Bangla speech</v>
      </c>
      <c r="L11" s="2" t="str">
        <f>IFERROR(__xludf.DUMMYFUNCTION("""COMPUTED_VALUE"""),"No")</f>
        <v>No</v>
      </c>
    </row>
    <row r="12">
      <c r="A12" s="2" t="str">
        <f>IFERROR(__xludf.DUMMYFUNCTION("""COMPUTED_VALUE"""),"collect/spontaneous/Dhaka FM/(বি কুল) BC - PROGRAM/141813cf-98ba-4cdd-a724-8dd0b138ac6c.flac")</f>
        <v>collect/spontaneous/Dhaka FM/(বি কুল) BC - PROGRAM/141813cf-98ba-4cdd-a724-8dd0b138ac6c.flac</v>
      </c>
      <c r="B12" s="2">
        <f>IFERROR(__xludf.DUMMYFUNCTION("""COMPUTED_VALUE"""),30.0)</f>
        <v>30</v>
      </c>
      <c r="C12" s="2" t="str">
        <f>IFERROR(__xludf.DUMMYFUNCTION("""COMPUTED_VALUE"""),"সেতু বললছি নস্তা বিখ্যাতকেও আমি খেয়াল করলাম যে উপবিশ্বাস কিনা দেখি যে না উপ বিশ্বাস না তাপরে আবার খেয়াল করলাম কি বুঝলি না কি দেখি যে না বদলিও না চিন্তা করলাম যে আগের কেউ কিনা দেখি সাবন এদিকে সাবনহরো না মানে আমিই তো ছিনি না আমি চিনি নাতা তাটে চিনবে কীভাব ত"&amp;"ারপরে তার গাড়ির সামনে আামি কাগজে দেখলাম লেখা রয়েছে বিচারপতি মানে গাড়িতে লেখা থাকে না ডাক্তার পুলিশ বিচারপতি বিভিন্ন ট্যাগ লেখা থাকে সাংবাদিক লেখা থাকে টা আমাদের আসলো ক্ষুব দূর্ভাগ্য যে আমাদের গাড়িও নাই আর আমরা য়")</f>
        <v>সেতু বললছি নস্তা বিখ্যাতকেও আমি খেয়াল করলাম যে উপবিশ্বাস কিনা দেখি যে না উপ বিশ্বাস না তাপরে আবার খেয়াল করলাম কি বুঝলি না কি দেখি যে না বদলিও না চিন্তা করলাম যে আগের কেউ কিনা দেখি সাবন এদিকে সাবনহরো না মানে আমিই তো ছিনি না আমি চিনি নাতা তাটে চিনবে কীভাব তারপরে তার গাড়ির সামনে আামি কাগজে দেখলাম লেখা রয়েছে বিচারপতি মানে গাড়িতে লেখা থাকে না ডাক্তার পুলিশ বিচারপতি বিভিন্ন ট্যাগ লেখা থাকে সাংবাদিক লেখা থাকে টা আমাদের আসলো ক্ষুব দূর্ভাগ্য যে আমাদের গাড়িও নাই আর আমরা য়</v>
      </c>
      <c r="D12" s="2" t="str">
        <f>IFERROR(__xludf.DUMMYFUNCTION("""COMPUTED_VALUE"""),"Yes")</f>
        <v>Yes</v>
      </c>
      <c r="E12" s="2" t="str">
        <f>IFERROR(__xludf.DUMMYFUNCTION("""COMPUTED_VALUE"""),"No")</f>
        <v>No</v>
      </c>
      <c r="F12" s="2" t="str">
        <f>IFERROR(__xludf.DUMMYFUNCTION("""COMPUTED_VALUE"""),"Yes")</f>
        <v>Yes</v>
      </c>
      <c r="G12" s="2">
        <f>IFERROR(__xludf.DUMMYFUNCTION("""COMPUTED_VALUE"""),0.5)</f>
        <v>0.5</v>
      </c>
      <c r="H12" s="2">
        <f>IFERROR(__xludf.DUMMYFUNCTION("""COMPUTED_VALUE"""),1.0)</f>
        <v>1</v>
      </c>
      <c r="I12" s="2">
        <f>IFERROR(__xludf.DUMMYFUNCTION("""COMPUTED_VALUE"""),0.5)</f>
        <v>0.5</v>
      </c>
      <c r="J12" s="2">
        <f>IFERROR(__xludf.DUMMYFUNCTION("""COMPUTED_VALUE"""),1.0)</f>
        <v>1</v>
      </c>
      <c r="K12" s="2" t="str">
        <f>IFERROR(__xludf.DUMMYFUNCTION("""COMPUTED_VALUE"""),"5 – High-quality, Clean Bangla speech")</f>
        <v>5 – High-quality, Clean Bangla speech</v>
      </c>
      <c r="L12" s="2" t="str">
        <f>IFERROR(__xludf.DUMMYFUNCTION("""COMPUTED_VALUE"""),"No")</f>
        <v>No</v>
      </c>
    </row>
    <row r="13">
      <c r="A13" s="2" t="str">
        <f>IFERROR(__xludf.DUMMYFUNCTION("""COMPUTED_VALUE"""),"collect/spontaneous/Dhaka FM/(বি কুল) BC - PROGRAM/143430e5-8935-452d-9b98-01c09ab6679c.flac")</f>
        <v>collect/spontaneous/Dhaka FM/(বি কুল) BC - PROGRAM/143430e5-8935-452d-9b98-01c09ab6679c.flac</v>
      </c>
      <c r="B13" s="2">
        <f>IFERROR(__xludf.DUMMYFUNCTION("""COMPUTED_VALUE"""),30.0)</f>
        <v>30</v>
      </c>
      <c r="C13" s="2" t="str">
        <f>IFERROR(__xludf.DUMMYFUNCTION("""COMPUTED_VALUE"""),"যগানের একটু মোডে থাকল মন ভালো না শিল্পীত া ে না এদের মন কিন্তু কমল থাকে এটা মূরউব্বিে আসছে ঘ্যাঁ আঙকেলআঙকে আপনি ও কি ডাউম বাজান হ্যাআআমরা তো ব্যান্ড করিয়ে া আপনি ড্রাউমটা চেয়েছেন অসুবিধা কি এক রাতের জন্য না কয়রাতের জন্য না একরাতের জন্য দিলেই হবে আর কি আমা"&amp;"কে ব্যান্টা ও আপনি বাঁঝা পেেন আপনি আপনার নিজেরও ব্যান্ডাসে আপনি গানবাজ না করেন এ বলছে প রফিকশাব বলছে যে না আসলে ব্যান্টা আজকে আমাকে একটু দাও আজকে রাতটা আমি একটু ঘুমাতে চাই তোমাদের অত্যার চালে ঘুমাতে পারি না আজকের মতো বিদায় নিচ্ছি বিকুল থেকে")</f>
        <v>যগানের একটু মোডে থাকল মন ভালো না শিল্পীত া ে না এদের মন কিন্তু কমল থাকে এটা মূরউব্বিে আসছে ঘ্যাঁ আঙকেলআঙকে আপনি ও কি ডাউম বাজান হ্যাআআমরা তো ব্যান্ড করিয়ে া আপনি ড্রাউমটা চেয়েছেন অসুবিধা কি এক রাতের জন্য না কয়রাতের জন্য না একরাতের জন্য দিলেই হবে আর কি আমাকে ব্যান্টা ও আপনি বাঁঝা পেেন আপনি আপনার নিজেরও ব্যান্ডাসে আপনি গানবাজ না করেন এ বলছে প রফিকশাব বলছে যে না আসলে ব্যান্টা আজকে আমাকে একটু দাও আজকে রাতটা আমি একটু ঘুমাতে চাই তোমাদের অত্যার চালে ঘুমাতে পারি না আজকের মতো বিদায় নিচ্ছি বিকুল থেকে</v>
      </c>
      <c r="D13" s="2" t="str">
        <f>IFERROR(__xludf.DUMMYFUNCTION("""COMPUTED_VALUE"""),"Yes")</f>
        <v>Yes</v>
      </c>
      <c r="E13" s="2" t="str">
        <f>IFERROR(__xludf.DUMMYFUNCTION("""COMPUTED_VALUE"""),"Yes")</f>
        <v>Yes</v>
      </c>
      <c r="F13" s="2" t="str">
        <f>IFERROR(__xludf.DUMMYFUNCTION("""COMPUTED_VALUE"""),"Yes")</f>
        <v>Yes</v>
      </c>
      <c r="G13" s="2">
        <f>IFERROR(__xludf.DUMMYFUNCTION("""COMPUTED_VALUE"""),0.0)</f>
        <v>0</v>
      </c>
      <c r="H13" s="2">
        <f>IFERROR(__xludf.DUMMYFUNCTION("""COMPUTED_VALUE"""),0.0)</f>
        <v>0</v>
      </c>
      <c r="I13" s="2">
        <f>IFERROR(__xludf.DUMMYFUNCTION("""COMPUTED_VALUE"""),0.0)</f>
        <v>0</v>
      </c>
      <c r="J13" s="2">
        <f>IFERROR(__xludf.DUMMYFUNCTION("""COMPUTED_VALUE"""),0.5)</f>
        <v>0.5</v>
      </c>
      <c r="K13" s="2" t="str">
        <f>IFERROR(__xludf.DUMMYFUNCTION("""COMPUTED_VALUE"""),"5 – High-quality, Clean Bangla speech")</f>
        <v>5 – High-quality, Clean Bangla speech</v>
      </c>
      <c r="L13" s="2" t="str">
        <f>IFERROR(__xludf.DUMMYFUNCTION("""COMPUTED_VALUE"""),"Yes")</f>
        <v>Yes</v>
      </c>
    </row>
    <row r="14">
      <c r="A14" s="2" t="str">
        <f>IFERROR(__xludf.DUMMYFUNCTION("""COMPUTED_VALUE"""),"collect/spontaneous/Dhaka FM/(বি কুল) BC - PROGRAM/143d2997-9f0d-42a8-b9d8-41ec919fcff1.flac")</f>
        <v>collect/spontaneous/Dhaka FM/(বি কুল) BC - PROGRAM/143d2997-9f0d-42a8-b9d8-41ec919fcff1.flac</v>
      </c>
      <c r="B14" s="2">
        <f>IFERROR(__xludf.DUMMYFUNCTION("""COMPUTED_VALUE"""),30.0)</f>
        <v>30</v>
      </c>
      <c r="C14" s="2" t="str">
        <f>IFERROR(__xludf.DUMMYFUNCTION("""COMPUTED_VALUE"""),"ান একলাপ পথি কী করে তা একলা পতিক আবার করলে কে একলা পথিকের নিচে লেখা একলা পথিক আর উপর একটা দুঃখে ছবি মানে একদম ধরেন এরকম করে বসে আছে মাননে খুব চোখ দিয়ে পানি পড়ছে এতো একলাপথিকের ছবিটা হচ্ছে এরকুম সে পুড়া ভেজা চোখের মতো যে ইনলিয়াজকানের জন্য ভেজা চোক ছবিটা দে"&amp;"খেছিা যখন নয় জীবনের গল্প সে তো অসুস্থ ছিল সিনেমা ম দোঅখিনে করেছে মান্যে এরকম বসে থাকা তা একলা পতিকে ছবির মধ্যে দেখলাম যে চোখ দিয়ে পানি পড়ছে আর নিচে একলাপতিক লাখা চোখ দিয়ে পানি পচ্ছে বিষণ্ন একটা ছেলে বসে আছে")</f>
        <v>ান একলাপ পথি কী করে তা একলা পতিক আবার করলে কে একলা পথিকের নিচে লেখা একলা পথিক আর উপর একটা দুঃখে ছবি মানে একদম ধরেন এরকম করে বসে আছে মাননে খুব চোখ দিয়ে পানি পড়ছে এতো একলাপথিকের ছবিটা হচ্ছে এরকুম সে পুড়া ভেজা চোখের মতো যে ইনলিয়াজকানের জন্য ভেজা চোক ছবিটা দেখেছিা যখন নয় জীবনের গল্প সে তো অসুস্থ ছিল সিনেমা ম দোঅখিনে করেছে মান্যে এরকম বসে থাকা তা একলা পতিকে ছবির মধ্যে দেখলাম যে চোখ দিয়ে পানি পড়ছে আর নিচে একলাপতিক লাখা চোখ দিয়ে পানি পচ্ছে বিষণ্ন একটা ছেলে বসে আছে</v>
      </c>
      <c r="D14" s="2" t="str">
        <f>IFERROR(__xludf.DUMMYFUNCTION("""COMPUTED_VALUE"""),"Yes")</f>
        <v>Yes</v>
      </c>
      <c r="E14" s="2" t="str">
        <f>IFERROR(__xludf.DUMMYFUNCTION("""COMPUTED_VALUE"""),"No")</f>
        <v>No</v>
      </c>
      <c r="F14" s="2" t="str">
        <f>IFERROR(__xludf.DUMMYFUNCTION("""COMPUTED_VALUE"""),"Yes")</f>
        <v>Yes</v>
      </c>
      <c r="G14" s="2">
        <f>IFERROR(__xludf.DUMMYFUNCTION("""COMPUTED_VALUE"""),0.5)</f>
        <v>0.5</v>
      </c>
      <c r="H14" s="2">
        <f>IFERROR(__xludf.DUMMYFUNCTION("""COMPUTED_VALUE"""),1.0)</f>
        <v>1</v>
      </c>
      <c r="I14" s="2">
        <f>IFERROR(__xludf.DUMMYFUNCTION("""COMPUTED_VALUE"""),0.5)</f>
        <v>0.5</v>
      </c>
      <c r="J14" s="2">
        <f>IFERROR(__xludf.DUMMYFUNCTION("""COMPUTED_VALUE"""),1.0)</f>
        <v>1</v>
      </c>
      <c r="K14" s="2" t="str">
        <f>IFERROR(__xludf.DUMMYFUNCTION("""COMPUTED_VALUE"""),"5 – High-quality, Clean Bangla speech")</f>
        <v>5 – High-quality, Clean Bangla speech</v>
      </c>
      <c r="L14" s="2" t="str">
        <f>IFERROR(__xludf.DUMMYFUNCTION("""COMPUTED_VALUE"""),"No")</f>
        <v>No</v>
      </c>
    </row>
    <row r="15">
      <c r="A15" s="2" t="str">
        <f>IFERROR(__xludf.DUMMYFUNCTION("""COMPUTED_VALUE"""),"collect/spontaneous/Dhaka FM/(বি কুল) BC - PROGRAM/1a01910c-7b8c-4a4b-b732-5cab909afb88.flac")</f>
        <v>collect/spontaneous/Dhaka FM/(বি কুল) BC - PROGRAM/1a01910c-7b8c-4a4b-b732-5cab909afb88.flac</v>
      </c>
      <c r="B15" s="2">
        <f>IFERROR(__xludf.DUMMYFUNCTION("""COMPUTED_VALUE"""),30.0)</f>
        <v>30</v>
      </c>
      <c r="C15" s="2" t="str">
        <f>IFERROR(__xludf.DUMMYFUNCTION("""COMPUTED_VALUE"""),"কু পেপার পরি আবার একটু ঘুমাই তেই ভাবি আমার চলতে থাকে তা আমি এ কয়দিন ধরে খেয়াল করলাম যে আমি ঘুম থেকে উঠাক পরি উপরে দেখি কি একটা শব্দ ও তুলুটু লুবপব অপচী বয়চী বচ ছ তাপরে এরকম যাওয়ার পরে হঠাৎ করে দেখি কি আরেক রকম তখন আমার একটা উপলব্ধি হলো যে একটা বাচ্চা ছোটক"&amp;"ালে বাচ্চাত খালি কাঁদতেই থাকে ও আসলে ক্ষুধা লাগলো কাঁধে ও এম নৌ কাঁদে মানে ও একটা সঙ্গ চায় জ্বালায় টা মা কিন্তু সবসময় বাচ্চার সাথে একদম অতপ্রথমভাবে থাকে টা আমি খেয়াল করে দেখলাম যে")</f>
        <v>কু পেপার পরি আবার একটু ঘুমাই তেই ভাবি আমার চলতে থাকে তা আমি এ কয়দিন ধরে খেয়াল করলাম যে আমি ঘুম থেকে উঠাক পরি উপরে দেখি কি একটা শব্দ ও তুলুটু লুবপব অপচী বয়চী বচ ছ তাপরে এরকম যাওয়ার পরে হঠাৎ করে দেখি কি আরেক রকম তখন আমার একটা উপলব্ধি হলো যে একটা বাচ্চা ছোটকালে বাচ্চাত খালি কাঁদতেই থাকে ও আসলে ক্ষুধা লাগলো কাঁধে ও এম নৌ কাঁদে মানে ও একটা সঙ্গ চায় জ্বালায় টা মা কিন্তু সবসময় বাচ্চার সাথে একদম অতপ্রথমভাবে থাকে টা আমি খেয়াল করে দেখলাম যে</v>
      </c>
      <c r="D15" s="2" t="str">
        <f>IFERROR(__xludf.DUMMYFUNCTION("""COMPUTED_VALUE"""),"Yes")</f>
        <v>Yes</v>
      </c>
      <c r="E15" s="2" t="str">
        <f>IFERROR(__xludf.DUMMYFUNCTION("""COMPUTED_VALUE"""),"No")</f>
        <v>No</v>
      </c>
      <c r="F15" s="2" t="str">
        <f>IFERROR(__xludf.DUMMYFUNCTION("""COMPUTED_VALUE"""),"Yes")</f>
        <v>Yes</v>
      </c>
      <c r="G15" s="2">
        <f>IFERROR(__xludf.DUMMYFUNCTION("""COMPUTED_VALUE"""),0.5)</f>
        <v>0.5</v>
      </c>
      <c r="H15" s="2">
        <f>IFERROR(__xludf.DUMMYFUNCTION("""COMPUTED_VALUE"""),1.0)</f>
        <v>1</v>
      </c>
      <c r="I15" s="2">
        <f>IFERROR(__xludf.DUMMYFUNCTION("""COMPUTED_VALUE"""),0.5)</f>
        <v>0.5</v>
      </c>
      <c r="J15" s="2">
        <f>IFERROR(__xludf.DUMMYFUNCTION("""COMPUTED_VALUE"""),1.0)</f>
        <v>1</v>
      </c>
      <c r="K15" s="2" t="str">
        <f>IFERROR(__xludf.DUMMYFUNCTION("""COMPUTED_VALUE"""),"5 – High-quality, Clean Bangla speech")</f>
        <v>5 – High-quality, Clean Bangla speech</v>
      </c>
      <c r="L15" s="2" t="str">
        <f>IFERROR(__xludf.DUMMYFUNCTION("""COMPUTED_VALUE"""),"No")</f>
        <v>No</v>
      </c>
    </row>
    <row r="16">
      <c r="A16" s="2" t="str">
        <f>IFERROR(__xludf.DUMMYFUNCTION("""COMPUTED_VALUE"""),"collect/spontaneous/Dhaka FM/(বি কুল) BC - PROGRAM/1aeae7f5-8247-4380-ba3c-956a4db97578.flac")</f>
        <v>collect/spontaneous/Dhaka FM/(বি কুল) BC - PROGRAM/1aeae7f5-8247-4380-ba3c-956a4db97578.flac</v>
      </c>
      <c r="B16" s="2">
        <f>IFERROR(__xludf.DUMMYFUNCTION("""COMPUTED_VALUE"""),30.0)</f>
        <v>30</v>
      </c>
      <c r="C16" s="2" t="str">
        <f>IFERROR(__xludf.DUMMYFUNCTION("""COMPUTED_VALUE"""),"হআপন একটু ঠিম উৎচ তাহে যাম তেই কারণে গরগড়া বলবে গারগারের কার দেখবেন যে খুব মডার্ন যারা ল তুমি গড়ে ঘর করেইছ এ গড়ঘর করলি আপনি দেখবেন যে আপনার পজিশনটা একটু আপলোড আপলিপ্ট হয়ে যাচ্ছে ে তা আমরা দর্কটা না বলে ো গার্গেন্একটু বলবেন তেহলে েতুন যে নিজের জায়গাটা একটু"&amp;" অন্যদিকে হয়ে গেছে টেইজে রার য়ে মিডিল ক্লাস এবং আপার ক্লাসের মধ্যে যে একটা পার্থক্য আমা বোন ছিল উঠছেন এখন আমেরিকায় থাকে ত আমেরিকায় যে অঙ্গরাজ্যে")</f>
        <v>হআপন একটু ঠিম উৎচ তাহে যাম তেই কারণে গরগড়া বলবে গারগারের কার দেখবেন যে খুব মডার্ন যারা ল তুমি গড়ে ঘর করেইছ এ গড়ঘর করলি আপনি দেখবেন যে আপনার পজিশনটা একটু আপলোড আপলিপ্ট হয়ে যাচ্ছে ে তা আমরা দর্কটা না বলে ো গার্গেন্একটু বলবেন তেহলে েতুন যে নিজের জায়গাটা একটু অন্যদিকে হয়ে গেছে টেইজে রার য়ে মিডিল ক্লাস এবং আপার ক্লাসের মধ্যে যে একটা পার্থক্য আমা বোন ছিল উঠছেন এখন আমেরিকায় থাকে ত আমেরিকায় যে অঙ্গরাজ্যে</v>
      </c>
      <c r="D16" s="2" t="str">
        <f>IFERROR(__xludf.DUMMYFUNCTION("""COMPUTED_VALUE"""),"Yes")</f>
        <v>Yes</v>
      </c>
      <c r="E16" s="2" t="str">
        <f>IFERROR(__xludf.DUMMYFUNCTION("""COMPUTED_VALUE"""),"Yes")</f>
        <v>Yes</v>
      </c>
      <c r="F16" s="2" t="str">
        <f>IFERROR(__xludf.DUMMYFUNCTION("""COMPUTED_VALUE"""),"Yes")</f>
        <v>Yes</v>
      </c>
      <c r="G16" s="2">
        <f>IFERROR(__xludf.DUMMYFUNCTION("""COMPUTED_VALUE"""),0.0)</f>
        <v>0</v>
      </c>
      <c r="H16" s="2">
        <f>IFERROR(__xludf.DUMMYFUNCTION("""COMPUTED_VALUE"""),0.5)</f>
        <v>0.5</v>
      </c>
      <c r="I16" s="2">
        <f>IFERROR(__xludf.DUMMYFUNCTION("""COMPUTED_VALUE"""),0.0)</f>
        <v>0</v>
      </c>
      <c r="J16" s="2">
        <f>IFERROR(__xludf.DUMMYFUNCTION("""COMPUTED_VALUE"""),0.5)</f>
        <v>0.5</v>
      </c>
      <c r="K16" s="2" t="str">
        <f>IFERROR(__xludf.DUMMYFUNCTION("""COMPUTED_VALUE"""),"5 – High-quality, Clean Bangla speech")</f>
        <v>5 – High-quality, Clean Bangla speech</v>
      </c>
      <c r="L16" s="2" t="str">
        <f>IFERROR(__xludf.DUMMYFUNCTION("""COMPUTED_VALUE"""),"Yes")</f>
        <v>Yes</v>
      </c>
    </row>
    <row r="17">
      <c r="A17" s="2" t="str">
        <f>IFERROR(__xludf.DUMMYFUNCTION("""COMPUTED_VALUE"""),"collect/spontaneous/Dhaka FM/(বি কুল) BC - PROGRAM/2281dc4f-def2-4283-a746-367bbbc0e953.flac")</f>
        <v>collect/spontaneous/Dhaka FM/(বি কুল) BC - PROGRAM/2281dc4f-def2-4283-a746-367bbbc0e953.flac</v>
      </c>
      <c r="B17" s="2">
        <f>IFERROR(__xludf.DUMMYFUNCTION("""COMPUTED_VALUE"""),30.0)</f>
        <v>30</v>
      </c>
      <c r="C17" s="2" t="str">
        <f>IFERROR(__xludf.DUMMYFUNCTION("""COMPUTED_VALUE"""),"হআপন একটু ঠিম উৎচ তাহে যাম তেই কারণে গরগড়া বলবে গারগারের কার দেখবেন যে খুব মডার্ন যারা ল তুমি গড়ে ঘর করেইছ এট গড়ঘর করলি আপনি দেখবেন যে আপনার পজিশনটা একটু আপলোড আপলিপ্ট হয়ে যাচ্ছে ে তা আমরা দর্কটা না বলে ো গার্গেন্ একটু বলবেন তেহলে ততুন যে নিজের জায়গাটা এক"&amp;"টু অন্যদিকে হয়ে গেছে টেইজে রার য়ে মিডিল ক্লাস এবং আপার ক্লাসের মধ্যে যে একটা পার্থক্য আমাা বোন ছিল উঠছেন এখন আমেরিকায় থাকে ত আমেরিকায় যে অঙ্গরাজ্যে")</f>
        <v>হআপন একটু ঠিম উৎচ তাহে যাম তেই কারণে গরগড়া বলবে গারগারের কার দেখবেন যে খুব মডার্ন যারা ল তুমি গড়ে ঘর করেইছ এট গড়ঘর করলি আপনি দেখবেন যে আপনার পজিশনটা একটু আপলোড আপলিপ্ট হয়ে যাচ্ছে ে তা আমরা দর্কটা না বলে ো গার্গেন্ একটু বলবেন তেহলে ততুন যে নিজের জায়গাটা একটু অন্যদিকে হয়ে গেছে টেইজে রার য়ে মিডিল ক্লাস এবং আপার ক্লাসের মধ্যে যে একটা পার্থক্য আমাা বোন ছিল উঠছেন এখন আমেরিকায় থাকে ত আমেরিকায় যে অঙ্গরাজ্যে</v>
      </c>
      <c r="D17" s="2" t="str">
        <f>IFERROR(__xludf.DUMMYFUNCTION("""COMPUTED_VALUE"""),"Yes")</f>
        <v>Yes</v>
      </c>
      <c r="E17" s="2" t="str">
        <f>IFERROR(__xludf.DUMMYFUNCTION("""COMPUTED_VALUE"""),"Yes")</f>
        <v>Yes</v>
      </c>
      <c r="F17" s="2" t="str">
        <f>IFERROR(__xludf.DUMMYFUNCTION("""COMPUTED_VALUE"""),"Yes")</f>
        <v>Yes</v>
      </c>
      <c r="G17" s="2">
        <f>IFERROR(__xludf.DUMMYFUNCTION("""COMPUTED_VALUE"""),0.0)</f>
        <v>0</v>
      </c>
      <c r="H17" s="2">
        <f>IFERROR(__xludf.DUMMYFUNCTION("""COMPUTED_VALUE"""),0.5)</f>
        <v>0.5</v>
      </c>
      <c r="I17" s="2">
        <f>IFERROR(__xludf.DUMMYFUNCTION("""COMPUTED_VALUE"""),0.0)</f>
        <v>0</v>
      </c>
      <c r="J17" s="2">
        <f>IFERROR(__xludf.DUMMYFUNCTION("""COMPUTED_VALUE"""),0.5)</f>
        <v>0.5</v>
      </c>
      <c r="K17" s="2" t="str">
        <f>IFERROR(__xludf.DUMMYFUNCTION("""COMPUTED_VALUE"""),"5 – High-quality, Clean Bangla speech")</f>
        <v>5 – High-quality, Clean Bangla speech</v>
      </c>
      <c r="L17" s="2" t="str">
        <f>IFERROR(__xludf.DUMMYFUNCTION("""COMPUTED_VALUE"""),"Yes")</f>
        <v>Yes</v>
      </c>
    </row>
    <row r="18">
      <c r="A18" s="2" t="str">
        <f>IFERROR(__xludf.DUMMYFUNCTION("""COMPUTED_VALUE"""),"collect/spontaneous/Dhaka FM/(বি কুল) BC - PROGRAM/23ee9cc1-ab93-4f11-8f29-f575e810eb10.flac")</f>
        <v>collect/spontaneous/Dhaka FM/(বি কুল) BC - PROGRAM/23ee9cc1-ab93-4f11-8f29-f575e810eb10.flac</v>
      </c>
      <c r="B18" s="2">
        <f>IFERROR(__xludf.DUMMYFUNCTION("""COMPUTED_VALUE"""),30.0)</f>
        <v>30</v>
      </c>
      <c r="C18" s="2" t="str">
        <f>IFERROR(__xludf.DUMMYFUNCTION("""COMPUTED_VALUE"""),"তা আমরা ক্লাসের মধ্যে দুষ্টা আমি করতাম তেমন করতে করতে আমার এক বন্ধু তার নাম মনে পড়ছে না সে করল কি ফ্ল্যাং্কিক মারে না তখন বিভিন্ন আমরা করতাম কি ধরেন জাভেদ মিয়ানদাত খেলছে কেমন ব্যাটিংয়ের স্টাইল প্র্যাক্টিস করতাম তারপরে বিভিন্ন কুনফু ছবি দেখে এসে আমরা ওরকম "&amp;"খাজি আ কারাপতীয়এরকম মারা মারি করতাম হয় এয আজকে যেমান মায়াদিভাইের কুম একটা ভাব তা আমার এক বন্ধু এসে করল কি ওই আমাকে মারে ওকে মারে ধাম ধূম মারছে তা মারতে মারত ও করল কি ব্ল্যাক বোর্ডের মধ্যে ব্ল্যাকবোর্ডের মধ্যে সে একা")</f>
        <v>তা আমরা ক্লাসের মধ্যে দুষ্টা আমি করতাম তেমন করতে করতে আমার এক বন্ধু তার নাম মনে পড়ছে না সে করল কি ফ্ল্যাং্কিক মারে না তখন বিভিন্ন আমরা করতাম কি ধরেন জাভেদ মিয়ানদাত খেলছে কেমন ব্যাটিংয়ের স্টাইল প্র্যাক্টিস করতাম তারপরে বিভিন্ন কুনফু ছবি দেখে এসে আমরা ওরকম খাজি আ কারাপতীয়এরকম মারা মারি করতাম হয় এয আজকে যেমান মায়াদিভাইের কুম একটা ভাব তা আমার এক বন্ধু এসে করল কি ওই আমাকে মারে ওকে মারে ধাম ধূম মারছে তা মারতে মারত ও করল কি ব্ল্যাক বোর্ডের মধ্যে ব্ল্যাকবোর্ডের মধ্যে সে একা</v>
      </c>
      <c r="D18" s="2" t="str">
        <f>IFERROR(__xludf.DUMMYFUNCTION("""COMPUTED_VALUE"""),"Yes")</f>
        <v>Yes</v>
      </c>
      <c r="E18" s="2" t="str">
        <f>IFERROR(__xludf.DUMMYFUNCTION("""COMPUTED_VALUE"""),"No")</f>
        <v>No</v>
      </c>
      <c r="F18" s="2" t="str">
        <f>IFERROR(__xludf.DUMMYFUNCTION("""COMPUTED_VALUE"""),"Yes")</f>
        <v>Yes</v>
      </c>
      <c r="G18" s="2">
        <f>IFERROR(__xludf.DUMMYFUNCTION("""COMPUTED_VALUE"""),0.5)</f>
        <v>0.5</v>
      </c>
      <c r="H18" s="2">
        <f>IFERROR(__xludf.DUMMYFUNCTION("""COMPUTED_VALUE"""),0.5)</f>
        <v>0.5</v>
      </c>
      <c r="I18" s="2">
        <f>IFERROR(__xludf.DUMMYFUNCTION("""COMPUTED_VALUE"""),0.5)</f>
        <v>0.5</v>
      </c>
      <c r="J18" s="2">
        <f>IFERROR(__xludf.DUMMYFUNCTION("""COMPUTED_VALUE"""),0.5)</f>
        <v>0.5</v>
      </c>
      <c r="K18" s="2" t="str">
        <f>IFERROR(__xludf.DUMMYFUNCTION("""COMPUTED_VALUE"""),"5 – High-quality, Clean Bangla speech")</f>
        <v>5 – High-quality, Clean Bangla speech</v>
      </c>
      <c r="L18" s="2" t="str">
        <f>IFERROR(__xludf.DUMMYFUNCTION("""COMPUTED_VALUE"""),"Yes")</f>
        <v>Yes</v>
      </c>
    </row>
    <row r="19">
      <c r="A19" s="2" t="str">
        <f>IFERROR(__xludf.DUMMYFUNCTION("""COMPUTED_VALUE"""),"collect/spontaneous/Dhaka FM/(বি কুল) BC - PROGRAM/2440189b-28a9-4fe3-985d-9eb7452a1018.flac")</f>
        <v>collect/spontaneous/Dhaka FM/(বি কুল) BC - PROGRAM/2440189b-28a9-4fe3-985d-9eb7452a1018.flac</v>
      </c>
      <c r="B19" s="2">
        <f>IFERROR(__xludf.DUMMYFUNCTION("""COMPUTED_VALUE"""),30.0)</f>
        <v>30</v>
      </c>
      <c r="C19" s="2" t="str">
        <f>IFERROR(__xludf.DUMMYFUNCTION("""COMPUTED_VALUE"""),"এখন যেহেতু আমি স্পেশাল গেস্ট আমি গিয়েছি আমাকে একটা লোককে ধরিয়ে দিল দিয়ে বলল যে এই মুকুল ভাইয়াকে খেয়াল াকবা ে একটু বেশি বেশি করে খাওয়াটা অদবিবা একটু খেয়াল লাগব সবকিছু এখন তো পড়লাম আমি মহা মুসিবতে যেই লোককে দিয়ে গেছে বিএ বাড়িতে কিছু লোক থাকবে দেখবেন যে রাখা"&amp;"লে হাঁটাহাটি করে আরই যে কার কী অবস্থা জানতে চায় কিন্তু কাজের কাজ কিছু করে না এখন এই লোককে আমাকে দিয়ে গেছে এখন আমার ইচ্ছা ছিল যে আজকে আমি প্রচুর পরিমাণে মাংস খাবো পোলাও একটু কম নিব সে আমারে পোলা বে")</f>
        <v>এখন যেহেতু আমি স্পেশাল গেস্ট আমি গিয়েছি আমাকে একটা লোককে ধরিয়ে দিল দিয়ে বলল যে এই মুকুল ভাইয়াকে খেয়াল াকবা ে একটু বেশি বেশি করে খাওয়াটা অদবিবা একটু খেয়াল লাগব সবকিছু এখন তো পড়লাম আমি মহা মুসিবতে যেই লোককে দিয়ে গেছে বিএ বাড়িতে কিছু লোক থাকবে দেখবেন যে রাখালে হাঁটাহাটি করে আরই যে কার কী অবস্থা জানতে চায় কিন্তু কাজের কাজ কিছু করে না এখন এই লোককে আমাকে দিয়ে গেছে এখন আমার ইচ্ছা ছিল যে আজকে আমি প্রচুর পরিমাণে মাংস খাবো পোলাও একটু কম নিব সে আমারে পোলা বে</v>
      </c>
      <c r="D19" s="2" t="str">
        <f>IFERROR(__xludf.DUMMYFUNCTION("""COMPUTED_VALUE"""),"Yes")</f>
        <v>Yes</v>
      </c>
      <c r="E19" s="2" t="str">
        <f>IFERROR(__xludf.DUMMYFUNCTION("""COMPUTED_VALUE"""),"No")</f>
        <v>No</v>
      </c>
      <c r="F19" s="2" t="str">
        <f>IFERROR(__xludf.DUMMYFUNCTION("""COMPUTED_VALUE"""),"Yes")</f>
        <v>Yes</v>
      </c>
      <c r="G19" s="2">
        <f>IFERROR(__xludf.DUMMYFUNCTION("""COMPUTED_VALUE"""),0.5)</f>
        <v>0.5</v>
      </c>
      <c r="H19" s="2">
        <f>IFERROR(__xludf.DUMMYFUNCTION("""COMPUTED_VALUE"""),1.0)</f>
        <v>1</v>
      </c>
      <c r="I19" s="2">
        <f>IFERROR(__xludf.DUMMYFUNCTION("""COMPUTED_VALUE"""),0.5)</f>
        <v>0.5</v>
      </c>
      <c r="J19" s="2">
        <f>IFERROR(__xludf.DUMMYFUNCTION("""COMPUTED_VALUE"""),1.0)</f>
        <v>1</v>
      </c>
      <c r="K19" s="2" t="str">
        <f>IFERROR(__xludf.DUMMYFUNCTION("""COMPUTED_VALUE"""),"5 – High-quality, Clean Bangla speech")</f>
        <v>5 – High-quality, Clean Bangla speech</v>
      </c>
      <c r="L19" s="2" t="str">
        <f>IFERROR(__xludf.DUMMYFUNCTION("""COMPUTED_VALUE"""),"No")</f>
        <v>No</v>
      </c>
    </row>
    <row r="20">
      <c r="A20" s="2" t="str">
        <f>IFERROR(__xludf.DUMMYFUNCTION("""COMPUTED_VALUE"""),"collect/spontaneous/Dhaka FM/(বি কুল) BC - PROGRAM/25f5905f-2e8c-47b4-accd-45ae58d9900f.flac")</f>
        <v>collect/spontaneous/Dhaka FM/(বি কুল) BC - PROGRAM/25f5905f-2e8c-47b4-accd-45ae58d9900f.flac</v>
      </c>
      <c r="B20" s="2">
        <f>IFERROR(__xludf.DUMMYFUNCTION("""COMPUTED_VALUE"""),30.0)</f>
        <v>30</v>
      </c>
      <c r="C20" s="2" t="str">
        <f>IFERROR(__xludf.DUMMYFUNCTION("""COMPUTED_VALUE"""),"াকে বহুবার মেরে ফেলে আমার স্কুলও মনে আছে এক স্টুরেন্ট ছিল আমার বন্ধুর কথা ওন নাম সীল আহছান না হইব হঠাৎ করে কাকাদোকাদো গলায় চার পরা পার্িনি আমার নানা মারা গেছে তারপর শুনতার তার নানা মারা গেছে পাঁচ বছর পর আগে এরকম পরে সে নানা দাদি বিভিন্ন মানুষলতো ারটি পরাত"&amp;" থেকে বাঁচার জন্য যাইও আজকের মতো বিকুল উইত মুকুল থেকে বিদায় নিচ্ছি সবা ভালো থাকুন সুস্থ থাকুন এবং ঢাকা এফরেমের সাথেই থাকুন টাটা")</f>
        <v>াকে বহুবার মেরে ফেলে আমার স্কুলও মনে আছে এক স্টুরেন্ট ছিল আমার বন্ধুর কথা ওন নাম সীল আহছান না হইব হঠাৎ করে কাকাদোকাদো গলায় চার পরা পার্িনি আমার নানা মারা গেছে তারপর শুনতার তার নানা মারা গেছে পাঁচ বছর পর আগে এরকম পরে সে নানা দাদি বিভিন্ন মানুষলতো ারটি পরাত থেকে বাঁচার জন্য যাইও আজকের মতো বিকুল উইত মুকুল থেকে বিদায় নিচ্ছি সবা ভালো থাকুন সুস্থ থাকুন এবং ঢাকা এফরেমের সাথেই থাকুন টাটা</v>
      </c>
      <c r="D20" s="2" t="str">
        <f>IFERROR(__xludf.DUMMYFUNCTION("""COMPUTED_VALUE"""),"Yes")</f>
        <v>Yes</v>
      </c>
      <c r="E20" s="2" t="str">
        <f>IFERROR(__xludf.DUMMYFUNCTION("""COMPUTED_VALUE"""),"Yes")</f>
        <v>Yes</v>
      </c>
      <c r="F20" s="2" t="str">
        <f>IFERROR(__xludf.DUMMYFUNCTION("""COMPUTED_VALUE"""),"Yes")</f>
        <v>Yes</v>
      </c>
      <c r="G20" s="2">
        <f>IFERROR(__xludf.DUMMYFUNCTION("""COMPUTED_VALUE"""),0.5)</f>
        <v>0.5</v>
      </c>
      <c r="H20" s="2">
        <f>IFERROR(__xludf.DUMMYFUNCTION("""COMPUTED_VALUE"""),0.5)</f>
        <v>0.5</v>
      </c>
      <c r="I20" s="2">
        <f>IFERROR(__xludf.DUMMYFUNCTION("""COMPUTED_VALUE"""),0.5)</f>
        <v>0.5</v>
      </c>
      <c r="J20" s="2">
        <f>IFERROR(__xludf.DUMMYFUNCTION("""COMPUTED_VALUE"""),0.5)</f>
        <v>0.5</v>
      </c>
      <c r="K20" s="2" t="str">
        <f>IFERROR(__xludf.DUMMYFUNCTION("""COMPUTED_VALUE"""),"5 – High-quality, Clean Bangla speech")</f>
        <v>5 – High-quality, Clean Bangla speech</v>
      </c>
      <c r="L20" s="2" t="str">
        <f>IFERROR(__xludf.DUMMYFUNCTION("""COMPUTED_VALUE"""),"No")</f>
        <v>No</v>
      </c>
    </row>
    <row r="21">
      <c r="A21" s="2" t="str">
        <f>IFERROR(__xludf.DUMMYFUNCTION("""COMPUTED_VALUE"""),"collect/spontaneous/Dhaka FM/(বি কুল) BC - PROGRAM/2a1fc35a-0b44-4f28-a0e7-14befa65be14.flac")</f>
        <v>collect/spontaneous/Dhaka FM/(বি কুল) BC - PROGRAM/2a1fc35a-0b44-4f28-a0e7-14befa65be14.flac</v>
      </c>
      <c r="B21" s="2">
        <f>IFERROR(__xludf.DUMMYFUNCTION("""COMPUTED_VALUE"""),30.0)</f>
        <v>30</v>
      </c>
      <c r="C21" s="2" t="str">
        <f>IFERROR(__xludf.DUMMYFUNCTION("""COMPUTED_VALUE"""),"সে থাকে আমেরিকার তো সম্পত বায়ান্নটা অঙ্গরাজ্য তা একটা অঙ্গরাজ্যে সে থাকে সেটাধার াম ্যাচ ম্যাসার চুি চু শেষ আমা্ উৎসারণ আ ম্যাসেড ম্যাসেড চু শেটস ম্যাসা চুর আচ্ছে আমি এটা না বলি নামটা কে আমার খুব কষ্ট আয় নামটা বলতে তা আমার এক বড় ভাইু বলেছিল যে আমি বলেছিল "&amp;"তোর বোন কইে থাকে আমি বলছে ম্যাচার চুছে ছে তখন সে বলছিল যে এই নামটাতে উচ্চারণ করিস না কেননা তুই তোর বোন কইে থাকে বললে তো আমরা সোনে")</f>
        <v>সে থাকে আমেরিকার তো সম্পত বায়ান্নটা অঙ্গরাজ্য তা একটা অঙ্গরাজ্যে সে থাকে সেটাধার াম ্যাচ ম্যাসার চুি চু শেষ আমা্ উৎসারণ আ ম্যাসেড ম্যাসেড চু শেটস ম্যাসা চুর আচ্ছে আমি এটা না বলি নামটা কে আমার খুব কষ্ট আয় নামটা বলতে তা আমার এক বড় ভাইু বলেছিল যে আমি বলেছিল তোর বোন কইে থাকে আমি বলছে ম্যাচার চুছে ছে তখন সে বলছিল যে এই নামটাতে উচ্চারণ করিস না কেননা তুই তোর বোন কইে থাকে বললে তো আমরা সোনে</v>
      </c>
      <c r="D21" s="2" t="str">
        <f>IFERROR(__xludf.DUMMYFUNCTION("""COMPUTED_VALUE"""),"Yes")</f>
        <v>Yes</v>
      </c>
      <c r="E21" s="2" t="str">
        <f>IFERROR(__xludf.DUMMYFUNCTION("""COMPUTED_VALUE"""),"No")</f>
        <v>No</v>
      </c>
      <c r="F21" s="2" t="str">
        <f>IFERROR(__xludf.DUMMYFUNCTION("""COMPUTED_VALUE"""),"Yes")</f>
        <v>Yes</v>
      </c>
      <c r="G21" s="2">
        <f>IFERROR(__xludf.DUMMYFUNCTION("""COMPUTED_VALUE"""),0.0)</f>
        <v>0</v>
      </c>
      <c r="H21" s="2">
        <f>IFERROR(__xludf.DUMMYFUNCTION("""COMPUTED_VALUE"""),0.5)</f>
        <v>0.5</v>
      </c>
      <c r="I21" s="2">
        <f>IFERROR(__xludf.DUMMYFUNCTION("""COMPUTED_VALUE"""),0.0)</f>
        <v>0</v>
      </c>
      <c r="J21" s="2">
        <f>IFERROR(__xludf.DUMMYFUNCTION("""COMPUTED_VALUE"""),0.5)</f>
        <v>0.5</v>
      </c>
      <c r="K21" s="2" t="str">
        <f>IFERROR(__xludf.DUMMYFUNCTION("""COMPUTED_VALUE"""),"5 – High-quality, Clean Bangla speech")</f>
        <v>5 – High-quality, Clean Bangla speech</v>
      </c>
      <c r="L21" s="2" t="str">
        <f>IFERROR(__xludf.DUMMYFUNCTION("""COMPUTED_VALUE"""),"Yes")</f>
        <v>Yes</v>
      </c>
    </row>
    <row r="22">
      <c r="A22" s="2" t="str">
        <f>IFERROR(__xludf.DUMMYFUNCTION("""COMPUTED_VALUE"""),"collect/spontaneous/Dhaka FM/(বি কুল) BC - PROGRAM/2a654539-b7b9-4a47-8f46-653655d4f244.flac")</f>
        <v>collect/spontaneous/Dhaka FM/(বি কুল) BC - PROGRAM/2a654539-b7b9-4a47-8f46-653655d4f244.flac</v>
      </c>
      <c r="B22" s="2">
        <f>IFERROR(__xludf.DUMMYFUNCTION("""COMPUTED_VALUE"""),30.0)</f>
        <v>30</v>
      </c>
      <c r="C22" s="2" t="str">
        <f>IFERROR(__xludf.DUMMYFUNCTION("""COMPUTED_VALUE"""),"ছেড়ে দিচ্ছে যে একটা কুবুদ্ধি দিয়ে যে মুকুল ভাই তুমি এগিয়ে চলল আমরা আছি তোমার পিছে এই ছিল একটা কথা আরেকটা জিনিস নিয়ে কথা বলতে চাই আমি সেদিন একজনের একটা নাম পেলাম সেটা হচ্ছে নাজমুস চাকিব সাদি তেই নামগুলো উচ্চারণ করতে গেলে আমার একটু পেয়াঁচ খায় প্রথমে নাজমুহু"&amp;"র সাকিব সাদী এটা কি সাদী না সাদী এই জিনিসগুলো একটু বাংলাতে লিখলে একটু ঝামেলা হয়ে যায় কিন্তু ইংরেজিতে লিখলে স্বাদী এসএইচ এই দ্বিতীয় কিংবা এসএ দিত একটা কিছু")</f>
        <v>ছেড়ে দিচ্ছে যে একটা কুবুদ্ধি দিয়ে যে মুকুল ভাই তুমি এগিয়ে চলল আমরা আছি তোমার পিছে এই ছিল একটা কথা আরেকটা জিনিস নিয়ে কথা বলতে চাই আমি সেদিন একজনের একটা নাম পেলাম সেটা হচ্ছে নাজমুস চাকিব সাদি তেই নামগুলো উচ্চারণ করতে গেলে আমার একটু পেয়াঁচ খায় প্রথমে নাজমুহুর সাকিব সাদী এটা কি সাদী না সাদী এই জিনিসগুলো একটু বাংলাতে লিখলে একটু ঝামেলা হয়ে যায় কিন্তু ইংরেজিতে লিখলে স্বাদী এসএইচ এই দ্বিতীয় কিংবা এসএ দিত একটা কিছু</v>
      </c>
      <c r="D22" s="2" t="str">
        <f>IFERROR(__xludf.DUMMYFUNCTION("""COMPUTED_VALUE"""),"Yes")</f>
        <v>Yes</v>
      </c>
      <c r="E22" s="2" t="str">
        <f>IFERROR(__xludf.DUMMYFUNCTION("""COMPUTED_VALUE"""),"No")</f>
        <v>No</v>
      </c>
      <c r="F22" s="2" t="str">
        <f>IFERROR(__xludf.DUMMYFUNCTION("""COMPUTED_VALUE"""),"Yes")</f>
        <v>Yes</v>
      </c>
      <c r="G22" s="2">
        <f>IFERROR(__xludf.DUMMYFUNCTION("""COMPUTED_VALUE"""),0.5)</f>
        <v>0.5</v>
      </c>
      <c r="H22" s="2">
        <f>IFERROR(__xludf.DUMMYFUNCTION("""COMPUTED_VALUE"""),1.0)</f>
        <v>1</v>
      </c>
      <c r="I22" s="2">
        <f>IFERROR(__xludf.DUMMYFUNCTION("""COMPUTED_VALUE"""),0.5)</f>
        <v>0.5</v>
      </c>
      <c r="J22" s="2">
        <f>IFERROR(__xludf.DUMMYFUNCTION("""COMPUTED_VALUE"""),0.0)</f>
        <v>0</v>
      </c>
      <c r="K22" s="2" t="str">
        <f>IFERROR(__xludf.DUMMYFUNCTION("""COMPUTED_VALUE"""),"5 – High-quality, Clean Bangla speech")</f>
        <v>5 – High-quality, Clean Bangla speech</v>
      </c>
      <c r="L22" s="2" t="str">
        <f>IFERROR(__xludf.DUMMYFUNCTION("""COMPUTED_VALUE"""),"No")</f>
        <v>No</v>
      </c>
    </row>
    <row r="23">
      <c r="A23" s="2" t="str">
        <f>IFERROR(__xludf.DUMMYFUNCTION("""COMPUTED_VALUE"""),"collect/spontaneous/Dhaka FM/(বি কুল) BC - PROGRAM/2c1010b7-9de7-4602-938a-87397354e0ce.flac")</f>
        <v>collect/spontaneous/Dhaka FM/(বি কুল) BC - PROGRAM/2c1010b7-9de7-4602-938a-87397354e0ce.flac</v>
      </c>
      <c r="B23" s="2">
        <f>IFERROR(__xludf.DUMMYFUNCTION("""COMPUTED_VALUE"""),30.0)</f>
        <v>30</v>
      </c>
      <c r="C23" s="2" t="str">
        <f>IFERROR(__xludf.DUMMYFUNCTION("""COMPUTED_VALUE"""),"দেখা গেছে যে এরকম কিছু মানুষ বেঁচে গেছে ধরেন চাকাই করে যে গেছে এরকোনো একটা পরিসংখ্যান বের হয়েছে যে সে পরিসংখ্যানে দেখা যায় যে চারজন না পাঁচজন মানুষ কোনো না কোনোভাবে আকি এটা ধরেন কাকতালীয় ব্যাপার চার পাঁচজন মানুষ কিন্তু বেঁচে গেছে সে প্লেনে চাক্ষাযাক করে ব"&amp;"িদেশি তা যেই লক্ষ্যেসে যেতে চেয়েছিল সেখানে গিয়েছিল এটা একটা এবার সবচেয় ইন্টাইঅযাস্টিন গিয়ে ডিসার্টার কথা বলি সেই ভিসারটার নাম হচ্ছে টার্জান ভিসা আমাদের একটা লাইব্রেি ছিল া লাইব্রির পাশে একটা সেলন ছিল েলন")</f>
        <v>দেখা গেছে যে এরকম কিছু মানুষ বেঁচে গেছে ধরেন চাকাই করে যে গেছে এরকোনো একটা পরিসংখ্যান বের হয়েছে যে সে পরিসংখ্যানে দেখা যায় যে চারজন না পাঁচজন মানুষ কোনো না কোনোভাবে আকি এটা ধরেন কাকতালীয় ব্যাপার চার পাঁচজন মানুষ কিন্তু বেঁচে গেছে সে প্লেনে চাক্ষাযাক করে বিদেশি তা যেই লক্ষ্যেসে যেতে চেয়েছিল সেখানে গিয়েছিল এটা একটা এবার সবচেয় ইন্টাইঅযাস্টিন গিয়ে ডিসার্টার কথা বলি সেই ভিসারটার নাম হচ্ছে টার্জান ভিসা আমাদের একটা লাইব্রেি ছিল া লাইব্রির পাশে একটা সেলন ছিল েলন</v>
      </c>
      <c r="D23" s="2" t="str">
        <f>IFERROR(__xludf.DUMMYFUNCTION("""COMPUTED_VALUE"""),"Yes")</f>
        <v>Yes</v>
      </c>
      <c r="E23" s="2" t="str">
        <f>IFERROR(__xludf.DUMMYFUNCTION("""COMPUTED_VALUE"""),"No")</f>
        <v>No</v>
      </c>
      <c r="F23" s="2" t="str">
        <f>IFERROR(__xludf.DUMMYFUNCTION("""COMPUTED_VALUE"""),"Yes")</f>
        <v>Yes</v>
      </c>
      <c r="G23" s="2">
        <f>IFERROR(__xludf.DUMMYFUNCTION("""COMPUTED_VALUE"""),0.5)</f>
        <v>0.5</v>
      </c>
      <c r="H23" s="2">
        <f>IFERROR(__xludf.DUMMYFUNCTION("""COMPUTED_VALUE"""),0.5)</f>
        <v>0.5</v>
      </c>
      <c r="I23" s="2">
        <f>IFERROR(__xludf.DUMMYFUNCTION("""COMPUTED_VALUE"""),0.5)</f>
        <v>0.5</v>
      </c>
      <c r="J23" s="2">
        <f>IFERROR(__xludf.DUMMYFUNCTION("""COMPUTED_VALUE"""),1.0)</f>
        <v>1</v>
      </c>
      <c r="K23" s="2" t="str">
        <f>IFERROR(__xludf.DUMMYFUNCTION("""COMPUTED_VALUE"""),"5 – High-quality, Clean Bangla speech")</f>
        <v>5 – High-quality, Clean Bangla speech</v>
      </c>
      <c r="L23" s="2" t="str">
        <f>IFERROR(__xludf.DUMMYFUNCTION("""COMPUTED_VALUE"""),"Yes")</f>
        <v>Yes</v>
      </c>
    </row>
    <row r="24">
      <c r="A24" s="2" t="str">
        <f>IFERROR(__xludf.DUMMYFUNCTION("""COMPUTED_VALUE"""),"collect/spontaneous/Dhaka FM/(বি কুল) BC - PROGRAM/2cc63f23-7420-4e72-ac55-2c8380962919.flac")</f>
        <v>collect/spontaneous/Dhaka FM/(বি কুল) BC - PROGRAM/2cc63f23-7420-4e72-ac55-2c8380962919.flac</v>
      </c>
      <c r="B24" s="2">
        <f>IFERROR(__xludf.DUMMYFUNCTION("""COMPUTED_VALUE"""),30.0)</f>
        <v>30</v>
      </c>
      <c r="C24" s="2" t="str">
        <f>IFERROR(__xludf.DUMMYFUNCTION("""COMPUTED_VALUE"""),"দরকম আজকে অনেক জ্ঞান দিলাম জ্ঞান সংস্থার পক্ষ থেকে সেই সেই ট্যুরিস করল কি ট্যুরিস্ট স্পটে গেল বেড়াতে তাই তারপর সে একটা হোটেলে ঢুকে একটা ডিম পোঁজ আর একটা চা খেল খাওয়ার পর তার বিল আসলো পঞ্চাশ টাকা তা সে একটু বিরক্ত হয় গেল একটা ডিমের দাম কত একটা ডিম আরার কাছ"&amp;"া খেলাম পঞ্চাশটা কয়ে না কি সে তখন পেয়ারাকে ডাকদি দেয় তোমাদের এখানে কি ডিম পাওয়া যায় না একটা ডিমের দাম পঞ্চাশ টাকা হয় এক কাপ চার একটা ডিম তুমি পঞ্চাশ টাকা নিয়েছ তখন ওই হোটেলে যে বয়াটা ছিল সে বলল যে স্যার এখানে ডিম পাওয়া যায় কিন্তু ট্যুরিজ পাওয়া যায় না অনেক"&amp;" প্ুলি")</f>
        <v>দরকম আজকে অনেক জ্ঞান দিলাম জ্ঞান সংস্থার পক্ষ থেকে সেই সেই ট্যুরিস করল কি ট্যুরিস্ট স্পটে গেল বেড়াতে তাই তারপর সে একটা হোটেলে ঢুকে একটা ডিম পোঁজ আর একটা চা খেল খাওয়ার পর তার বিল আসলো পঞ্চাশ টাকা তা সে একটু বিরক্ত হয় গেল একটা ডিমের দাম কত একটা ডিম আরার কাছা খেলাম পঞ্চাশটা কয়ে না কি সে তখন পেয়ারাকে ডাকদি দেয় তোমাদের এখানে কি ডিম পাওয়া যায় না একটা ডিমের দাম পঞ্চাশ টাকা হয় এক কাপ চার একটা ডিম তুমি পঞ্চাশ টাকা নিয়েছ তখন ওই হোটেলে যে বয়াটা ছিল সে বলল যে স্যার এখানে ডিম পাওয়া যায় কিন্তু ট্যুরিজ পাওয়া যায় না অনেক প্ুলি</v>
      </c>
      <c r="D24" s="2" t="str">
        <f>IFERROR(__xludf.DUMMYFUNCTION("""COMPUTED_VALUE"""),"Yes")</f>
        <v>Yes</v>
      </c>
      <c r="E24" s="2" t="str">
        <f>IFERROR(__xludf.DUMMYFUNCTION("""COMPUTED_VALUE"""),"Yes")</f>
        <v>Yes</v>
      </c>
      <c r="F24" s="2" t="str">
        <f>IFERROR(__xludf.DUMMYFUNCTION("""COMPUTED_VALUE"""),"Yes")</f>
        <v>Yes</v>
      </c>
      <c r="G24" s="2">
        <f>IFERROR(__xludf.DUMMYFUNCTION("""COMPUTED_VALUE"""),0.5)</f>
        <v>0.5</v>
      </c>
      <c r="H24" s="2">
        <f>IFERROR(__xludf.DUMMYFUNCTION("""COMPUTED_VALUE"""),0.5)</f>
        <v>0.5</v>
      </c>
      <c r="I24" s="2">
        <f>IFERROR(__xludf.DUMMYFUNCTION("""COMPUTED_VALUE"""),0.5)</f>
        <v>0.5</v>
      </c>
      <c r="J24" s="2">
        <f>IFERROR(__xludf.DUMMYFUNCTION("""COMPUTED_VALUE"""),0.5)</f>
        <v>0.5</v>
      </c>
      <c r="K24" s="2" t="str">
        <f>IFERROR(__xludf.DUMMYFUNCTION("""COMPUTED_VALUE"""),"5 – High-quality, Clean Bangla speech")</f>
        <v>5 – High-quality, Clean Bangla speech</v>
      </c>
      <c r="L24" s="2" t="str">
        <f>IFERROR(__xludf.DUMMYFUNCTION("""COMPUTED_VALUE"""),"No")</f>
        <v>No</v>
      </c>
    </row>
    <row r="25">
      <c r="A25" s="2" t="str">
        <f>IFERROR(__xludf.DUMMYFUNCTION("""COMPUTED_VALUE"""),"collect/spontaneous/Dhaka FM/(বি কুল) BC - PROGRAM/2f356e36-2cba-4566-8b71-058e7874e836.flac")</f>
        <v>collect/spontaneous/Dhaka FM/(বি কুল) BC - PROGRAM/2f356e36-2cba-4566-8b71-058e7874e836.flac</v>
      </c>
      <c r="B25" s="2">
        <f>IFERROR(__xludf.DUMMYFUNCTION("""COMPUTED_VALUE"""),30.0)</f>
        <v>30</v>
      </c>
      <c r="C25" s="2" t="str">
        <f>IFERROR(__xludf.DUMMYFUNCTION("""COMPUTED_VALUE"""),"সিনেস পা দিয়েছে কেএবি আমি বিশ্বাস করেন দুপুরবেলা মন্যয় আমার এটা আসছে কেবি আমি খুঁজতে খুঁজতে রাত পর্যন্ত আমি খালে চিন্তাই করছি যে কে বি এটা কি জিনিস হলো তারপর তারা আমি আবার লেখলাম যে কি এটা প্রশ্নবোধক ছিন্ন দিলাম তারপর শেয়ার নাই সঅনিয়াদমেদ কেবির আমি পরবর্ত"&amp;"ীতে এটা খুঁজে পেলাম কে এই বিমান হচ্ছে তেমন আছেন ভাই কেএবি কেঁতে হচ্ছে কেমন এতে হচ্ছে আছেন ভিড়তে হচ্ছে ভাই কেমন আছেন ভাই সে লেখেছে কেব তারপরে আমি বুঝলাম যে কে ই বিমান আচ্ছে কেনা")</f>
        <v>সিনেস পা দিয়েছে কেএবি আমি বিশ্বাস করেন দুপুরবেলা মন্যয় আমার এটা আসছে কেবি আমি খুঁজতে খুঁজতে রাত পর্যন্ত আমি খালে চিন্তাই করছি যে কে বি এটা কি জিনিস হলো তারপর তারা আমি আবার লেখলাম যে কি এটা প্রশ্নবোধক ছিন্ন দিলাম তারপর শেয়ার নাই সঅনিয়াদমেদ কেবির আমি পরবর্তীতে এটা খুঁজে পেলাম কে এই বিমান হচ্ছে তেমন আছেন ভাই কেএবি কেঁতে হচ্ছে কেমন এতে হচ্ছে আছেন ভিড়তে হচ্ছে ভাই কেমন আছেন ভাই সে লেখেছে কেব তারপরে আমি বুঝলাম যে কে ই বিমান আচ্ছে কেনা</v>
      </c>
      <c r="D25" s="2" t="str">
        <f>IFERROR(__xludf.DUMMYFUNCTION("""COMPUTED_VALUE"""),"Yes")</f>
        <v>Yes</v>
      </c>
      <c r="E25" s="2" t="str">
        <f>IFERROR(__xludf.DUMMYFUNCTION("""COMPUTED_VALUE"""),"Yes")</f>
        <v>Yes</v>
      </c>
      <c r="F25" s="2" t="str">
        <f>IFERROR(__xludf.DUMMYFUNCTION("""COMPUTED_VALUE"""),"Yes")</f>
        <v>Yes</v>
      </c>
      <c r="G25" s="2">
        <f>IFERROR(__xludf.DUMMYFUNCTION("""COMPUTED_VALUE"""),0.0)</f>
        <v>0</v>
      </c>
      <c r="H25" s="2">
        <f>IFERROR(__xludf.DUMMYFUNCTION("""COMPUTED_VALUE"""),0.5)</f>
        <v>0.5</v>
      </c>
      <c r="I25" s="2">
        <f>IFERROR(__xludf.DUMMYFUNCTION("""COMPUTED_VALUE"""),0.0)</f>
        <v>0</v>
      </c>
      <c r="J25" s="2">
        <f>IFERROR(__xludf.DUMMYFUNCTION("""COMPUTED_VALUE"""),0.5)</f>
        <v>0.5</v>
      </c>
      <c r="K25" s="2" t="str">
        <f>IFERROR(__xludf.DUMMYFUNCTION("""COMPUTED_VALUE"""),"5 – High-quality, Clean Bangla speech")</f>
        <v>5 – High-quality, Clean Bangla speech</v>
      </c>
      <c r="L25" s="2" t="str">
        <f>IFERROR(__xludf.DUMMYFUNCTION("""COMPUTED_VALUE"""),"No")</f>
        <v>No</v>
      </c>
    </row>
    <row r="26">
      <c r="A26" s="2" t="str">
        <f>IFERROR(__xludf.DUMMYFUNCTION("""COMPUTED_VALUE"""),"collect/spontaneous/Dhaka FM/(বি কুল) BC - PROGRAM/313115d0-01c0-4fbd-b034-4ae6609e1ede.flac")</f>
        <v>collect/spontaneous/Dhaka FM/(বি কুল) BC - PROGRAM/313115d0-01c0-4fbd-b034-4ae6609e1ede.flac</v>
      </c>
      <c r="B26" s="2">
        <f>IFERROR(__xludf.DUMMYFUNCTION("""COMPUTED_VALUE"""),30.0)</f>
        <v>30</v>
      </c>
      <c r="C26" s="2" t="str">
        <f>IFERROR(__xludf.DUMMYFUNCTION("""COMPUTED_VALUE"""),"অ্যালো লিসিনার আপনাদের সবাইকে স্বাকষথ জানাচ্ছি আমাদের একদম ব্র্যান্ড নিউ একটা এপিসোর্ড এবং নতুন একটা প্রোগ্রাম যান্নাম হচ্ছে বিক্ু কে আর আমি বলতে পারি যেহেতো আমি সাথে আছি বলতে পারি বিকুল ওয়েত মুকুল তে এই শোঁটা আসলে সিম্প্লি কিছু না জাস্ খালে আপনাদের সাথে "&amp;"আমি কিছু কথা বলব আর যেহেতু বিকুন সবসময় আপনাকে আপনাদের নানা রকম অস্থিহতার মধ্যে থাকেন বিভিন্ন কথা দিয়ে একটু শান্ত করার চেষ্টা করব আর দেখেন কীভাবে আপনারা আমাকে সবসময় ফেইসবুকে কিংবা আমার শোতে বলেন যে ভাইয়া তোমাকে একটু ভিডি হতে দেখতে চাই আজি")</f>
        <v>অ্যালো লিসিনার আপনাদের সবাইকে স্বাকষথ জানাচ্ছি আমাদের একদম ব্র্যান্ড নিউ একটা এপিসোর্ড এবং নতুন একটা প্রোগ্রাম যান্নাম হচ্ছে বিক্ু কে আর আমি বলতে পারি যেহেতো আমি সাথে আছি বলতে পারি বিকুল ওয়েত মুকুল তে এই শোঁটা আসলে সিম্প্লি কিছু না জাস্ খালে আপনাদের সাথে আমি কিছু কথা বলব আর যেহেতু বিকুন সবসময় আপনাকে আপনাদের নানা রকম অস্থিহতার মধ্যে থাকেন বিভিন্ন কথা দিয়ে একটু শান্ত করার চেষ্টা করব আর দেখেন কীভাবে আপনারা আমাকে সবসময় ফেইসবুকে কিংবা আমার শোতে বলেন যে ভাইয়া তোমাকে একটু ভিডি হতে দেখতে চাই আজি</v>
      </c>
      <c r="D26" s="2" t="str">
        <f>IFERROR(__xludf.DUMMYFUNCTION("""COMPUTED_VALUE"""),"Yes")</f>
        <v>Yes</v>
      </c>
      <c r="E26" s="2" t="str">
        <f>IFERROR(__xludf.DUMMYFUNCTION("""COMPUTED_VALUE"""),"No")</f>
        <v>No</v>
      </c>
      <c r="F26" s="2" t="str">
        <f>IFERROR(__xludf.DUMMYFUNCTION("""COMPUTED_VALUE"""),"Yes")</f>
        <v>Yes</v>
      </c>
      <c r="G26" s="2">
        <f>IFERROR(__xludf.DUMMYFUNCTION("""COMPUTED_VALUE"""),0.5)</f>
        <v>0.5</v>
      </c>
      <c r="H26" s="2">
        <f>IFERROR(__xludf.DUMMYFUNCTION("""COMPUTED_VALUE"""),0.5)</f>
        <v>0.5</v>
      </c>
      <c r="I26" s="2">
        <f>IFERROR(__xludf.DUMMYFUNCTION("""COMPUTED_VALUE"""),0.5)</f>
        <v>0.5</v>
      </c>
      <c r="J26" s="2">
        <f>IFERROR(__xludf.DUMMYFUNCTION("""COMPUTED_VALUE"""),1.0)</f>
        <v>1</v>
      </c>
      <c r="K26" s="2" t="str">
        <f>IFERROR(__xludf.DUMMYFUNCTION("""COMPUTED_VALUE"""),"5 – High-quality, Clean Bangla speech")</f>
        <v>5 – High-quality, Clean Bangla speech</v>
      </c>
      <c r="L26" s="2" t="str">
        <f>IFERROR(__xludf.DUMMYFUNCTION("""COMPUTED_VALUE"""),"Yes")</f>
        <v>Yes</v>
      </c>
    </row>
    <row r="27">
      <c r="A27" s="2" t="str">
        <f>IFERROR(__xludf.DUMMYFUNCTION("""COMPUTED_VALUE"""),"collect/spontaneous/Dhaka FM/(বি কুল) BC - PROGRAM/32ffde61-c8de-4774-9c91-19b4d17bdc6c.flac")</f>
        <v>collect/spontaneous/Dhaka FM/(বি কুল) BC - PROGRAM/32ffde61-c8de-4774-9c91-19b4d17bdc6c.flac</v>
      </c>
      <c r="B27" s="2">
        <f>IFERROR(__xludf.DUMMYFUNCTION("""COMPUTED_VALUE"""),30.0)</f>
        <v>30</v>
      </c>
      <c r="C27" s="2" t="str">
        <f>IFERROR(__xludf.DUMMYFUNCTION("""COMPUTED_VALUE"""),"তা আম্মার সাথে ছোটবেলা অনেক ছোটবেলা আমি আর আম্মা ছাঁদ পুরে যাচ্ছিলাম লঞ্চ পরে তা লঞ্চ পরে তখন পাঁচ প্লাস কেবিনের মধ্যে কিছু চেয়ার থাকেহলো সিঙ্গেল আবার কিছু থাকে হচ্ছে মানে ছোট একটা জায়গা পা আবাদ একটু টুটে টুনের মতো করে দিল ওর মধ্যে আপনি বসবে থাকে এটা আমি "&amp;"আম্মা ছোট আমাকে কলে নিয়ে আম্মা বসছে এটা আম্মার মুখের কথা এবং আম্মাও আমার মতো অনেক মজার মজার কথা বলে মানে আমি মজার কথা বললি কিনা আমি যাইি না মনে বলে ফেললাম আর কি টা আমার মা মা গাযে খুব মজার কথা বলেন তখন মা এই কথা টা প্রাই বলে টা মা")</f>
        <v>তা আম্মার সাথে ছোটবেলা অনেক ছোটবেলা আমি আর আম্মা ছাঁদ পুরে যাচ্ছিলাম লঞ্চ পরে তা লঞ্চ পরে তখন পাঁচ প্লাস কেবিনের মধ্যে কিছু চেয়ার থাকেহলো সিঙ্গেল আবার কিছু থাকে হচ্ছে মানে ছোট একটা জায়গা পা আবাদ একটু টুটে টুনের মতো করে দিল ওর মধ্যে আপনি বসবে থাকে এটা আমি আম্মা ছোট আমাকে কলে নিয়ে আম্মা বসছে এটা আম্মার মুখের কথা এবং আম্মাও আমার মতো অনেক মজার মজার কথা বলে মানে আমি মজার কথা বললি কিনা আমি যাইি না মনে বলে ফেললাম আর কি টা আমার মা মা গাযে খুব মজার কথা বলেন তখন মা এই কথা টা প্রাই বলে টা মা</v>
      </c>
      <c r="D27" s="2" t="str">
        <f>IFERROR(__xludf.DUMMYFUNCTION("""COMPUTED_VALUE"""),"Yes")</f>
        <v>Yes</v>
      </c>
      <c r="E27" s="2" t="str">
        <f>IFERROR(__xludf.DUMMYFUNCTION("""COMPUTED_VALUE"""),"Yes")</f>
        <v>Yes</v>
      </c>
      <c r="F27" s="2" t="str">
        <f>IFERROR(__xludf.DUMMYFUNCTION("""COMPUTED_VALUE"""),"Yes")</f>
        <v>Yes</v>
      </c>
      <c r="G27" s="2">
        <f>IFERROR(__xludf.DUMMYFUNCTION("""COMPUTED_VALUE"""),0.5)</f>
        <v>0.5</v>
      </c>
      <c r="H27" s="2">
        <f>IFERROR(__xludf.DUMMYFUNCTION("""COMPUTED_VALUE"""),0.5)</f>
        <v>0.5</v>
      </c>
      <c r="I27" s="2">
        <f>IFERROR(__xludf.DUMMYFUNCTION("""COMPUTED_VALUE"""),0.5)</f>
        <v>0.5</v>
      </c>
      <c r="J27" s="2">
        <f>IFERROR(__xludf.DUMMYFUNCTION("""COMPUTED_VALUE"""),1.0)</f>
        <v>1</v>
      </c>
      <c r="K27" s="2" t="str">
        <f>IFERROR(__xludf.DUMMYFUNCTION("""COMPUTED_VALUE"""),"5 – High-quality, Clean Bangla speech")</f>
        <v>5 – High-quality, Clean Bangla speech</v>
      </c>
      <c r="L27" s="2" t="str">
        <f>IFERROR(__xludf.DUMMYFUNCTION("""COMPUTED_VALUE"""),"Yes")</f>
        <v>Yes</v>
      </c>
    </row>
    <row r="28">
      <c r="A28" s="2" t="str">
        <f>IFERROR(__xludf.DUMMYFUNCTION("""COMPUTED_VALUE"""),"collect/spontaneous/Dhaka FM/(বি কুল) BC - PROGRAM/37f37147-8d27-4c5a-bb72-614e00ea01a4.flac")</f>
        <v>collect/spontaneous/Dhaka FM/(বি কুল) BC - PROGRAM/37f37147-8d27-4c5a-bb72-614e00ea01a4.flac</v>
      </c>
      <c r="B28" s="2">
        <f>IFERROR(__xludf.DUMMYFUNCTION("""COMPUTED_VALUE"""),30.0)</f>
        <v>30</v>
      </c>
      <c r="C28" s="2" t="str">
        <f>IFERROR(__xludf.DUMMYFUNCTION("""COMPUTED_VALUE"""),"কখনো আপনার মনে মধ্যে জাগে যে ব্যাংক ার তে স্বাভাবিকভাবেই ব্যাংকটা আসলে কার ব্যাংকার ব্যাংকটা খওয়া উচিত ছিল যে টাকা লগ্নি করে যে টাকা রাখে সাধারণ মানুষের ব্যাংক তা আমার কথা ছিলতেন আর মালিকপক্ষত থাকবেই একটা মালিকপক্ষ ইতো একটা ব্যাংক পর্ম করবে তারপর সাধারণ ম"&amp;"ানুষ সেখানে তাকা রাখবে তা ব্যাংকার বেশি বেসিক্যেলি হচ্ছে যারা টাকা রাখবে তাদের হচ্ছে ব্যাংক ব্যাংকটা হচ্ছে তাদের তা দেখা যায় যে এই মালিকপক্ষের মধ্যে কিছু অসোৎ মালিকপক্ষ থাকে জান")</f>
        <v>কখনো আপনার মনে মধ্যে জাগে যে ব্যাংক ার তে স্বাভাবিকভাবেই ব্যাংকটা আসলে কার ব্যাংকার ব্যাংকটা খওয়া উচিত ছিল যে টাকা লগ্নি করে যে টাকা রাখে সাধারণ মানুষের ব্যাংক তা আমার কথা ছিলতেন আর মালিকপক্ষত থাকবেই একটা মালিকপক্ষ ইতো একটা ব্যাংক পর্ম করবে তারপর সাধারণ মানুষ সেখানে তাকা রাখবে তা ব্যাংকার বেশি বেসিক্যেলি হচ্ছে যারা টাকা রাখবে তাদের হচ্ছে ব্যাংক ব্যাংকটা হচ্ছে তাদের তা দেখা যায় যে এই মালিকপক্ষের মধ্যে কিছু অসোৎ মালিকপক্ষ থাকে জান</v>
      </c>
      <c r="D28" s="2" t="str">
        <f>IFERROR(__xludf.DUMMYFUNCTION("""COMPUTED_VALUE"""),"Yes")</f>
        <v>Yes</v>
      </c>
      <c r="E28" s="2" t="str">
        <f>IFERROR(__xludf.DUMMYFUNCTION("""COMPUTED_VALUE"""),"No")</f>
        <v>No</v>
      </c>
      <c r="F28" s="2" t="str">
        <f>IFERROR(__xludf.DUMMYFUNCTION("""COMPUTED_VALUE"""),"Yes")</f>
        <v>Yes</v>
      </c>
      <c r="G28" s="2">
        <f>IFERROR(__xludf.DUMMYFUNCTION("""COMPUTED_VALUE"""),0.5)</f>
        <v>0.5</v>
      </c>
      <c r="H28" s="2">
        <f>IFERROR(__xludf.DUMMYFUNCTION("""COMPUTED_VALUE"""),0.5)</f>
        <v>0.5</v>
      </c>
      <c r="I28" s="2">
        <f>IFERROR(__xludf.DUMMYFUNCTION("""COMPUTED_VALUE"""),0.5)</f>
        <v>0.5</v>
      </c>
      <c r="J28" s="2">
        <f>IFERROR(__xludf.DUMMYFUNCTION("""COMPUTED_VALUE"""),1.0)</f>
        <v>1</v>
      </c>
      <c r="K28" s="2" t="str">
        <f>IFERROR(__xludf.DUMMYFUNCTION("""COMPUTED_VALUE"""),"5 – High-quality, Clean Bangla speech")</f>
        <v>5 – High-quality, Clean Bangla speech</v>
      </c>
      <c r="L28" s="2" t="str">
        <f>IFERROR(__xludf.DUMMYFUNCTION("""COMPUTED_VALUE"""),"Yes")</f>
        <v>Yes</v>
      </c>
    </row>
    <row r="29">
      <c r="A29" s="2" t="str">
        <f>IFERROR(__xludf.DUMMYFUNCTION("""COMPUTED_VALUE"""),"collect/spontaneous/Dhaka FM/(বি কুল) BC - PROGRAM/40195e44-54ca-4b49-b15f-cfcb289ed419.flac")</f>
        <v>collect/spontaneous/Dhaka FM/(বি কুল) BC - PROGRAM/40195e44-54ca-4b49-b15f-cfcb289ed419.flac</v>
      </c>
      <c r="B29" s="2">
        <f>IFERROR(__xludf.DUMMYFUNCTION("""COMPUTED_VALUE"""),30.0)</f>
        <v>30</v>
      </c>
      <c r="C29" s="2" t="str">
        <f>IFERROR(__xludf.DUMMYFUNCTION("""COMPUTED_VALUE"""),"কিন্তু মনোযোগ দিয়ে টা শুনতে হবে আচ্া তারপর সে করল কি গোয়েন্দা কাহিনী এটা পুরা তখন স্যার বলল যে আচ্ছা কে মেরেছিস বল নাহলে সবাইকে পিটাবো তারপরও সবাই নিশ্চুপ হয়ে বসে আছে যে সবাইকে পিটাইলে পিটা কিন্তু কে মেনেছে বলবে না স সাদের একটু মানা হলো যে সবাইকে যদি পেটা"&amp;"ই একজনের জন্য সবাইকে পেটা অনরা ঠিক হবে না তখন সে স্যার একটা বুদ্ধি বের করল আপনি চিন্তা করেন সে কনে রোগী তখন আমরা বাটা জুতা পড়তাম কটা বাটা জুতার এই সোদের মধ্যে দাগ থাকত এরকম এরকম দাগ থাকত আবার কখনো")</f>
        <v>কিন্তু মনোযোগ দিয়ে টা শুনতে হবে আচ্া তারপর সে করল কি গোয়েন্দা কাহিনী এটা পুরা তখন স্যার বলল যে আচ্ছা কে মেরেছিস বল নাহলে সবাইকে পিটাবো তারপরও সবাই নিশ্চুপ হয়ে বসে আছে যে সবাইকে পিটাইলে পিটা কিন্তু কে মেনেছে বলবে না স সাদের একটু মানা হলো যে সবাইকে যদি পেটাই একজনের জন্য সবাইকে পেটা অনরা ঠিক হবে না তখন সে স্যার একটা বুদ্ধি বের করল আপনি চিন্তা করেন সে কনে রোগী তখন আমরা বাটা জুতা পড়তাম কটা বাটা জুতার এই সোদের মধ্যে দাগ থাকত এরকম এরকম দাগ থাকত আবার কখনো</v>
      </c>
      <c r="D29" s="2" t="str">
        <f>IFERROR(__xludf.DUMMYFUNCTION("""COMPUTED_VALUE"""),"Yes")</f>
        <v>Yes</v>
      </c>
      <c r="E29" s="2" t="str">
        <f>IFERROR(__xludf.DUMMYFUNCTION("""COMPUTED_VALUE"""),"Yes")</f>
        <v>Yes</v>
      </c>
      <c r="F29" s="2" t="str">
        <f>IFERROR(__xludf.DUMMYFUNCTION("""COMPUTED_VALUE"""),"Yes")</f>
        <v>Yes</v>
      </c>
      <c r="G29" s="2">
        <f>IFERROR(__xludf.DUMMYFUNCTION("""COMPUTED_VALUE"""),0.5)</f>
        <v>0.5</v>
      </c>
      <c r="H29" s="2">
        <f>IFERROR(__xludf.DUMMYFUNCTION("""COMPUTED_VALUE"""),1.0)</f>
        <v>1</v>
      </c>
      <c r="I29" s="2">
        <f>IFERROR(__xludf.DUMMYFUNCTION("""COMPUTED_VALUE"""),0.5)</f>
        <v>0.5</v>
      </c>
      <c r="J29" s="2">
        <f>IFERROR(__xludf.DUMMYFUNCTION("""COMPUTED_VALUE"""),1.0)</f>
        <v>1</v>
      </c>
      <c r="K29" s="2" t="str">
        <f>IFERROR(__xludf.DUMMYFUNCTION("""COMPUTED_VALUE"""),"5 – High-quality, Clean Bangla speech")</f>
        <v>5 – High-quality, Clean Bangla speech</v>
      </c>
      <c r="L29" s="2" t="str">
        <f>IFERROR(__xludf.DUMMYFUNCTION("""COMPUTED_VALUE"""),"No")</f>
        <v>No</v>
      </c>
    </row>
    <row r="30">
      <c r="A30" s="2" t="str">
        <f>IFERROR(__xludf.DUMMYFUNCTION("""COMPUTED_VALUE"""),"collect/spontaneous/Dhaka FM/(বি কুল) BC - PROGRAM/40217cb8-c134-4987-bc79-02d3c050041a.flac")</f>
        <v>collect/spontaneous/Dhaka FM/(বি কুল) BC - PROGRAM/40217cb8-c134-4987-bc79-02d3c050041a.flac</v>
      </c>
      <c r="B30" s="2">
        <f>IFERROR(__xludf.DUMMYFUNCTION("""COMPUTED_VALUE"""),30.0)</f>
        <v>30</v>
      </c>
      <c r="C30" s="2" t="str">
        <f>IFERROR(__xludf.DUMMYFUNCTION("""COMPUTED_VALUE"""),"না নেওয়ার আগে আরেকটি জোগ বলে যাই যেটা বাকারো বাপ দাদা সম্পত্তি না এটা একদম প্রকাশ্যে বলবেন যোখ কারো বাদ দাদা সম্পত্তি না এটা আমার সম্পত্তি খালি বলতে থাকবেন ওকে যোগটা ঠিজা নি যোগ বলবান চোগটেয়ই গেছি বুঝে বে আা কি য বলত জানি আা এইরকম ধরেন যোখ বলতে যায় যদি যো"&amp;"খ ভুধা যায় এটাও কি কোনো রকম যোখ হয় াকি এক পিশ্বাস করে নো আমার কোনতায় জানি আমি বলতে গিয়েছিলাম এত খাটা কলম ব্যবহার করি কিন্তু আমি লিখি নাই জিনিস")</f>
        <v>না নেওয়ার আগে আরেকটি জোগ বলে যাই যেটা বাকারো বাপ দাদা সম্পত্তি না এটা একদম প্রকাশ্যে বলবেন যোখ কারো বাদ দাদা সম্পত্তি না এটা আমার সম্পত্তি খালি বলতে থাকবেন ওকে যোগটা ঠিজা নি যোগ বলবান চোগটেয়ই গেছি বুঝে বে আা কি য বলত জানি আা এইরকম ধরেন যোখ বলতে যায় যদি যোখ ভুধা যায় এটাও কি কোনো রকম যোখ হয় াকি এক পিশ্বাস করে নো আমার কোনতায় জানি আমি বলতে গিয়েছিলাম এত খাটা কলম ব্যবহার করি কিন্তু আমি লিখি নাই জিনিস</v>
      </c>
      <c r="D30" s="2" t="str">
        <f>IFERROR(__xludf.DUMMYFUNCTION("""COMPUTED_VALUE"""),"Yes")</f>
        <v>Yes</v>
      </c>
      <c r="E30" s="2" t="str">
        <f>IFERROR(__xludf.DUMMYFUNCTION("""COMPUTED_VALUE"""),"Yes")</f>
        <v>Yes</v>
      </c>
      <c r="F30" s="2" t="str">
        <f>IFERROR(__xludf.DUMMYFUNCTION("""COMPUTED_VALUE"""),"Yes")</f>
        <v>Yes</v>
      </c>
      <c r="G30" s="2">
        <f>IFERROR(__xludf.DUMMYFUNCTION("""COMPUTED_VALUE"""),0.5)</f>
        <v>0.5</v>
      </c>
      <c r="H30" s="2">
        <f>IFERROR(__xludf.DUMMYFUNCTION("""COMPUTED_VALUE"""),1.0)</f>
        <v>1</v>
      </c>
      <c r="I30" s="2">
        <f>IFERROR(__xludf.DUMMYFUNCTION("""COMPUTED_VALUE"""),0.5)</f>
        <v>0.5</v>
      </c>
      <c r="J30" s="2">
        <f>IFERROR(__xludf.DUMMYFUNCTION("""COMPUTED_VALUE"""),1.0)</f>
        <v>1</v>
      </c>
      <c r="K30" s="2" t="str">
        <f>IFERROR(__xludf.DUMMYFUNCTION("""COMPUTED_VALUE"""),"5 – High-quality, Clean Bangla speech")</f>
        <v>5 – High-quality, Clean Bangla speech</v>
      </c>
      <c r="L30" s="2" t="str">
        <f>IFERROR(__xludf.DUMMYFUNCTION("""COMPUTED_VALUE"""),"Yes")</f>
        <v>Yes</v>
      </c>
    </row>
    <row r="31">
      <c r="A31" s="2" t="str">
        <f>IFERROR(__xludf.DUMMYFUNCTION("""COMPUTED_VALUE"""),"collect/spontaneous/Dhaka FM/(বি কুল) BC - PROGRAM/4055303e-bfb0-485c-9b4d-6ad4e5c2cc3a.flac")</f>
        <v>collect/spontaneous/Dhaka FM/(বি কুল) BC - PROGRAM/4055303e-bfb0-485c-9b4d-6ad4e5c2cc3a.flac</v>
      </c>
      <c r="B31" s="2">
        <f>IFERROR(__xludf.DUMMYFUNCTION("""COMPUTED_VALUE"""),30.0)</f>
        <v>30</v>
      </c>
      <c r="C31" s="2" t="str">
        <f>IFERROR(__xludf.DUMMYFUNCTION("""COMPUTED_VALUE"""),"শব্দ আমরা একদম বারোটা বাজিয়ে ফেলেছি সে শব্দটার নাম হচ্ছে সাবসক্রাইব এই ইউটিউব যখন আসলো সবাই খালী সাবসক্রাইভ করে তা বিভিন্ন চ্যান্ডেলে যাই যাওয়ার পর সবাইকয় আমার চাইেলটি একটি সাসক্াইট করে দিবেন আমার চায়েলটি কটু সাসক্াপ করে দিন তা আমি মা াযে কনফ্িউজট হয়ে যাই"&amp;" যে আসলে কি সাফক্রাইব না সাসকাইপ পারে াবে সাসক্রাইফ কয়েদিন সাজক্াক করেদিন চ্যাঞ্জটি চ্যানেলটাও বলতে পারে না চ্যানেলটাও প্যাচ খেয়া যায় তেরকম করতে করতে মারে ন যে আমি কনফ্লিউসট হয়েছি াইদানিং খেয়াল করলাম যে ইউটুও আসার পরে একটা শব্দকে আমরা এখতম বারোটা বাজি")</f>
        <v>শব্দ আমরা একদম বারোটা বাজিয়ে ফেলেছি সে শব্দটার নাম হচ্ছে সাবসক্রাইব এই ইউটিউব যখন আসলো সবাই খালী সাবসক্রাইভ করে তা বিভিন্ন চ্যান্ডেলে যাই যাওয়ার পর সবাইকয় আমার চাইেলটি একটি সাসক্াইট করে দিবেন আমার চায়েলটি কটু সাসক্াপ করে দিন তা আমি মা াযে কনফ্িউজট হয়ে যাই যে আসলে কি সাফক্রাইব না সাসকাইপ পারে াবে সাসক্রাইফ কয়েদিন সাজক্াক করেদিন চ্যাঞ্জটি চ্যানেলটাও বলতে পারে না চ্যানেলটাও প্যাচ খেয়া যায় তেরকম করতে করতে মারে ন যে আমি কনফ্লিউসট হয়েছি াইদানিং খেয়াল করলাম যে ইউটুও আসার পরে একটা শব্দকে আমরা এখতম বারোটা বাজি</v>
      </c>
      <c r="D31" s="2" t="str">
        <f>IFERROR(__xludf.DUMMYFUNCTION("""COMPUTED_VALUE"""),"Yes")</f>
        <v>Yes</v>
      </c>
      <c r="E31" s="2" t="str">
        <f>IFERROR(__xludf.DUMMYFUNCTION("""COMPUTED_VALUE"""),"Yes")</f>
        <v>Yes</v>
      </c>
      <c r="F31" s="2" t="str">
        <f>IFERROR(__xludf.DUMMYFUNCTION("""COMPUTED_VALUE"""),"Yes")</f>
        <v>Yes</v>
      </c>
      <c r="G31" s="2">
        <f>IFERROR(__xludf.DUMMYFUNCTION("""COMPUTED_VALUE"""),0.0)</f>
        <v>0</v>
      </c>
      <c r="H31" s="2">
        <f>IFERROR(__xludf.DUMMYFUNCTION("""COMPUTED_VALUE"""),0.5)</f>
        <v>0.5</v>
      </c>
      <c r="I31" s="2">
        <f>IFERROR(__xludf.DUMMYFUNCTION("""COMPUTED_VALUE"""),0.0)</f>
        <v>0</v>
      </c>
      <c r="J31" s="2">
        <f>IFERROR(__xludf.DUMMYFUNCTION("""COMPUTED_VALUE"""),0.5)</f>
        <v>0.5</v>
      </c>
      <c r="K31" s="2" t="str">
        <f>IFERROR(__xludf.DUMMYFUNCTION("""COMPUTED_VALUE"""),"5 – High-quality, Clean Bangla speech")</f>
        <v>5 – High-quality, Clean Bangla speech</v>
      </c>
      <c r="L31" s="2" t="str">
        <f>IFERROR(__xludf.DUMMYFUNCTION("""COMPUTED_VALUE"""),"Yes")</f>
        <v>Yes</v>
      </c>
    </row>
    <row r="32">
      <c r="A32" s="2" t="str">
        <f>IFERROR(__xludf.DUMMYFUNCTION("""COMPUTED_VALUE"""),"collect/spontaneous/Dhaka FM/(বি কুল) BC - PROGRAM/416492ae-d1c5-4033-b761-dbc3f4d3b876.flac")</f>
        <v>collect/spontaneous/Dhaka FM/(বি কুল) BC - PROGRAM/416492ae-d1c5-4033-b761-dbc3f4d3b876.flac</v>
      </c>
      <c r="B32" s="2">
        <f>IFERROR(__xludf.DUMMYFUNCTION("""COMPUTED_VALUE"""),30.0)</f>
        <v>30</v>
      </c>
      <c r="C32" s="2" t="str">
        <f>IFERROR(__xludf.DUMMYFUNCTION("""COMPUTED_VALUE"""),"ট্যুরিস্টার সে একটা ট্যুরিস্ট এরিয়ায় বেড়াতে গেছে তা সেখানে বেড়াতে গেল সে ঘুরে ফিরে একটা হোটেলে ঢুকল ঢুকার পরে সে একটা ডিম পোচ আর এক কাপ চা খেল ওইখানে এ দেখা নেয় না আরেক আবার ভেজালে পড়লাম আমরা সবসময় ডিম পোস বলি ডিম পোস বলল কিন্তু আপনি পাার ছা ডাউনটাও অনে চ"&amp;"লে যাবেন আজটা উনে থাকতে চান বখন ডিম পোচ খুব সুন্দর মে বলতে বে জিনগুলা হ্যাপিবার্ডের মধ্যো আমরা সে বালি হ্যাপিবা ডেটুইউ ওই আটটা বাচ চলে যায় বলবে হ্যাপিবেট দ্রে টুইউ হ্যাপিবেট দে")</f>
        <v>ট্যুরিস্টার সে একটা ট্যুরিস্ট এরিয়ায় বেড়াতে গেছে তা সেখানে বেড়াতে গেল সে ঘুরে ফিরে একটা হোটেলে ঢুকল ঢুকার পরে সে একটা ডিম পোচ আর এক কাপ চা খেল ওইখানে এ দেখা নেয় না আরেক আবার ভেজালে পড়লাম আমরা সবসময় ডিম পোস বলি ডিম পোস বলল কিন্তু আপনি পাার ছা ডাউনটাও অনে চলে যাবেন আজটা উনে থাকতে চান বখন ডিম পোচ খুব সুন্দর মে বলতে বে জিনগুলা হ্যাপিবার্ডের মধ্যো আমরা সে বালি হ্যাপিবা ডেটুইউ ওই আটটা বাচ চলে যায় বলবে হ্যাপিবেট দ্রে টুইউ হ্যাপিবেট দে</v>
      </c>
      <c r="D32" s="2" t="str">
        <f>IFERROR(__xludf.DUMMYFUNCTION("""COMPUTED_VALUE"""),"Yes")</f>
        <v>Yes</v>
      </c>
      <c r="E32" s="2" t="str">
        <f>IFERROR(__xludf.DUMMYFUNCTION("""COMPUTED_VALUE"""),"No")</f>
        <v>No</v>
      </c>
      <c r="F32" s="2" t="str">
        <f>IFERROR(__xludf.DUMMYFUNCTION("""COMPUTED_VALUE"""),"Yes")</f>
        <v>Yes</v>
      </c>
      <c r="G32" s="2">
        <f>IFERROR(__xludf.DUMMYFUNCTION("""COMPUTED_VALUE"""),0.5)</f>
        <v>0.5</v>
      </c>
      <c r="H32" s="2">
        <f>IFERROR(__xludf.DUMMYFUNCTION("""COMPUTED_VALUE"""),0.5)</f>
        <v>0.5</v>
      </c>
      <c r="I32" s="2">
        <f>IFERROR(__xludf.DUMMYFUNCTION("""COMPUTED_VALUE"""),0.5)</f>
        <v>0.5</v>
      </c>
      <c r="J32" s="2">
        <f>IFERROR(__xludf.DUMMYFUNCTION("""COMPUTED_VALUE"""),1.0)</f>
        <v>1</v>
      </c>
      <c r="K32" s="2" t="str">
        <f>IFERROR(__xludf.DUMMYFUNCTION("""COMPUTED_VALUE"""),"5 – High-quality, Clean Bangla speech")</f>
        <v>5 – High-quality, Clean Bangla speech</v>
      </c>
      <c r="L32" s="2" t="str">
        <f>IFERROR(__xludf.DUMMYFUNCTION("""COMPUTED_VALUE"""),"Yes")</f>
        <v>Yes</v>
      </c>
    </row>
    <row r="33">
      <c r="A33" s="2" t="str">
        <f>IFERROR(__xludf.DUMMYFUNCTION("""COMPUTED_VALUE"""),"collect/spontaneous/Dhaka FM/(বি কুল) BC - PROGRAM/41f27e8a-ab2a-4e35-ae7a-08e1baa603b2.flac")</f>
        <v>collect/spontaneous/Dhaka FM/(বি কুল) BC - PROGRAM/41f27e8a-ab2a-4e35-ae7a-08e1baa603b2.flac</v>
      </c>
      <c r="B33" s="2">
        <f>IFERROR(__xludf.DUMMYFUNCTION("""COMPUTED_VALUE"""),30.0)</f>
        <v>30</v>
      </c>
      <c r="C33" s="2" t="str">
        <f>IFERROR(__xludf.DUMMYFUNCTION("""COMPUTED_VALUE"""),"ওকে আজকের মতো আমি বিকুল শেষ করে দিব কিন্তু যাওয়ার আগে একটা জোগ বলে যাই না যে যোগ সব সময় বলি আর আমাদেই গেটি স্ট্যা্টি করব পেটিসটা পেটিসটা এভো উড়ে পেলে দিতে য়া কি ওে যোগটা হলো যে এক দুই বন্ধু একজন না হচ্ছে রবিং একজন নাম হচ্ছে মুকুন তো রবি মুকুনকে প্রশ্ন করল"&amp;" যে আচ্ছা বলত বাড়ি করার জন্য যে লোন নে হয় সেই নোনটে কী বলে তখন ডবিন বলল যে হাউজলোন তখন মুকুল বল্ল হাউজল তখনে রবিন বলল আছা ে")</f>
        <v>ওকে আজকের মতো আমি বিকুল শেষ করে দিব কিন্তু যাওয়ার আগে একটা জোগ বলে যাই না যে যোগ সব সময় বলি আর আমাদেই গেটি স্ট্যা্টি করব পেটিসটা পেটিসটা এভো উড়ে পেলে দিতে য়া কি ওে যোগটা হলো যে এক দুই বন্ধু একজন না হচ্ছে রবিং একজন নাম হচ্ছে মুকুন তো রবি মুকুনকে প্রশ্ন করল যে আচ্ছা বলত বাড়ি করার জন্য যে লোন নে হয় সেই নোনটে কী বলে তখন ডবিন বলল যে হাউজলোন তখন মুকুল বল্ল হাউজল তখনে রবিন বলল আছা ে</v>
      </c>
      <c r="D33" s="2" t="str">
        <f>IFERROR(__xludf.DUMMYFUNCTION("""COMPUTED_VALUE"""),"Yes")</f>
        <v>Yes</v>
      </c>
      <c r="E33" s="2" t="str">
        <f>IFERROR(__xludf.DUMMYFUNCTION("""COMPUTED_VALUE"""),"No")</f>
        <v>No</v>
      </c>
      <c r="F33" s="2" t="str">
        <f>IFERROR(__xludf.DUMMYFUNCTION("""COMPUTED_VALUE"""),"Yes")</f>
        <v>Yes</v>
      </c>
      <c r="G33" s="2">
        <f>IFERROR(__xludf.DUMMYFUNCTION("""COMPUTED_VALUE"""),0.5)</f>
        <v>0.5</v>
      </c>
      <c r="H33" s="2">
        <f>IFERROR(__xludf.DUMMYFUNCTION("""COMPUTED_VALUE"""),0.5)</f>
        <v>0.5</v>
      </c>
      <c r="I33" s="2">
        <f>IFERROR(__xludf.DUMMYFUNCTION("""COMPUTED_VALUE"""),0.5)</f>
        <v>0.5</v>
      </c>
      <c r="J33" s="2">
        <f>IFERROR(__xludf.DUMMYFUNCTION("""COMPUTED_VALUE"""),0.5)</f>
        <v>0.5</v>
      </c>
      <c r="K33" s="2" t="str">
        <f>IFERROR(__xludf.DUMMYFUNCTION("""COMPUTED_VALUE"""),"5 – High-quality, Clean Bangla speech")</f>
        <v>5 – High-quality, Clean Bangla speech</v>
      </c>
      <c r="L33" s="2" t="str">
        <f>IFERROR(__xludf.DUMMYFUNCTION("""COMPUTED_VALUE"""),"Yes")</f>
        <v>Yes</v>
      </c>
    </row>
    <row r="34">
      <c r="A34" s="2" t="str">
        <f>IFERROR(__xludf.DUMMYFUNCTION("""COMPUTED_VALUE"""),"collect/spontaneous/Dhaka FM/(বি কুল) BC - PROGRAM/4349d05e-c818-4a3d-ab83-4f5d43c577a5.flac")</f>
        <v>collect/spontaneous/Dhaka FM/(বি কুল) BC - PROGRAM/4349d05e-c818-4a3d-ab83-4f5d43c577a5.flac</v>
      </c>
      <c r="B34" s="2">
        <f>IFERROR(__xludf.DUMMYFUNCTION("""COMPUTED_VALUE"""),30.0)</f>
        <v>30</v>
      </c>
      <c r="C34" s="2" t="str">
        <f>IFERROR(__xludf.DUMMYFUNCTION("""COMPUTED_VALUE"""),"দুই বন্ধু তা মুকুল জুয়েলকে জিজ্ঞেস করল আচ্ছা বলত জুয়েল যে হেলিক্াপ্টারের উপরে পাখা থাকে কেন তে জুয়েল একটু বিরক্ত হয়ে গেল হঠাৎ করে এমন একটা আম কমন কেমন একটা প্রশ্ন হেলিকাপটার উপর পাখা থাকে কেন হেলিকাপ্টা তো পাকা থাকবে তখন বলল চী জানি আমি জানি না তুই বলে ফে"&amp;"ল তখন মুকুল বলছে যে হেলিক্াপ্টারের পাখা থাকে হচ্ছে ড্রাইভার যাতে ঘেমে না যায় ঘেমে গেলে বাতাস করার জন্য তখন বন্ধু বলছে কি দুষ্টা মিক হয়েছে আমার সাথে এটা আবার কেমন কথা কা হেলিকপটার যখন স্টার্ট নিবে হেলিকপটা")</f>
        <v>দুই বন্ধু তা মুকুল জুয়েলকে জিজ্ঞেস করল আচ্ছা বলত জুয়েল যে হেলিক্াপ্টারের উপরে পাখা থাকে কেন তে জুয়েল একটু বিরক্ত হয়ে গেল হঠাৎ করে এমন একটা আম কমন কেমন একটা প্রশ্ন হেলিকাপটার উপর পাখা থাকে কেন হেলিকাপ্টা তো পাকা থাকবে তখন বলল চী জানি আমি জানি না তুই বলে ফেল তখন মুকুল বলছে যে হেলিক্াপ্টারের পাখা থাকে হচ্ছে ড্রাইভার যাতে ঘেমে না যায় ঘেমে গেলে বাতাস করার জন্য তখন বন্ধু বলছে কি দুষ্টা মিক হয়েছে আমার সাথে এটা আবার কেমন কথা কা হেলিকপটার যখন স্টার্ট নিবে হেলিকপটা</v>
      </c>
      <c r="D34" s="2" t="str">
        <f>IFERROR(__xludf.DUMMYFUNCTION("""COMPUTED_VALUE"""),"Yes")</f>
        <v>Yes</v>
      </c>
      <c r="E34" s="2" t="str">
        <f>IFERROR(__xludf.DUMMYFUNCTION("""COMPUTED_VALUE"""),"No")</f>
        <v>No</v>
      </c>
      <c r="F34" s="2" t="str">
        <f>IFERROR(__xludf.DUMMYFUNCTION("""COMPUTED_VALUE"""),"Yes")</f>
        <v>Yes</v>
      </c>
      <c r="G34" s="2">
        <f>IFERROR(__xludf.DUMMYFUNCTION("""COMPUTED_VALUE"""),0.5)</f>
        <v>0.5</v>
      </c>
      <c r="H34" s="2">
        <f>IFERROR(__xludf.DUMMYFUNCTION("""COMPUTED_VALUE"""),1.0)</f>
        <v>1</v>
      </c>
      <c r="I34" s="2">
        <f>IFERROR(__xludf.DUMMYFUNCTION("""COMPUTED_VALUE"""),0.5)</f>
        <v>0.5</v>
      </c>
      <c r="J34" s="2">
        <f>IFERROR(__xludf.DUMMYFUNCTION("""COMPUTED_VALUE"""),1.0)</f>
        <v>1</v>
      </c>
      <c r="K34" s="2" t="str">
        <f>IFERROR(__xludf.DUMMYFUNCTION("""COMPUTED_VALUE"""),"5 – High-quality, Clean Bangla speech")</f>
        <v>5 – High-quality, Clean Bangla speech</v>
      </c>
      <c r="L34" s="2" t="str">
        <f>IFERROR(__xludf.DUMMYFUNCTION("""COMPUTED_VALUE"""),"No")</f>
        <v>No</v>
      </c>
    </row>
    <row r="35">
      <c r="A35" s="2" t="str">
        <f>IFERROR(__xludf.DUMMYFUNCTION("""COMPUTED_VALUE"""),"collect/spontaneous/Dhaka FM/(বি কুল) BC - PROGRAM/43bec599-052e-440d-a24e-cbc7f3fd140c.flac")</f>
        <v>collect/spontaneous/Dhaka FM/(বি কুল) BC - PROGRAM/43bec599-052e-440d-a24e-cbc7f3fd140c.flac</v>
      </c>
      <c r="B35" s="2">
        <f>IFERROR(__xludf.DUMMYFUNCTION("""COMPUTED_VALUE"""),30.0)</f>
        <v>30</v>
      </c>
      <c r="C35" s="2" t="str">
        <f>IFERROR(__xludf.DUMMYFUNCTION("""COMPUTED_VALUE"""),"থাকবেন তাকে বীর ভদ্রাশন বলে আমি ধরা এখন বীর ভদ্রাসুনে বসে আছি দেখেছেন খী লোভ বীরভদ্রাসোনার এভাবে এটাকে বীর ভদ্যাসন বলে তবে এটা যেভাবে করতে হয় ওই বর্ণনায় আজকে না গেলাম যাও কেবার একটা বিজ্ঞাপন বিরতিতে যেতে চাই বিজ্ঞাপন বিরতির পর এসে আপনাদের সাথে আমি আরও কথা"&amp;" বলব কে বিজ্ঞাপন বিরতি পর ফিরে আসছি ঢাকা এফ্রেমের সাথেই থাকুন ট্যাডেট্াট ইদুরে মারেন তেলাপোকায় মারেন ছার পোকা")</f>
        <v>থাকবেন তাকে বীর ভদ্রাশন বলে আমি ধরা এখন বীর ভদ্রাসুনে বসে আছি দেখেছেন খী লোভ বীরভদ্রাসোনার এভাবে এটাকে বীর ভদ্যাসন বলে তবে এটা যেভাবে করতে হয় ওই বর্ণনায় আজকে না গেলাম যাও কেবার একটা বিজ্ঞাপন বিরতিতে যেতে চাই বিজ্ঞাপন বিরতির পর এসে আপনাদের সাথে আমি আরও কথা বলব কে বিজ্ঞাপন বিরতি পর ফিরে আসছি ঢাকা এফ্রেমের সাথেই থাকুন ট্যাডেট্াট ইদুরে মারেন তেলাপোকায় মারেন ছার পোকা</v>
      </c>
      <c r="D35" s="2" t="str">
        <f>IFERROR(__xludf.DUMMYFUNCTION("""COMPUTED_VALUE"""),"Yes")</f>
        <v>Yes</v>
      </c>
      <c r="E35" s="2" t="str">
        <f>IFERROR(__xludf.DUMMYFUNCTION("""COMPUTED_VALUE"""),"No")</f>
        <v>No</v>
      </c>
      <c r="F35" s="2" t="str">
        <f>IFERROR(__xludf.DUMMYFUNCTION("""COMPUTED_VALUE"""),"Yes")</f>
        <v>Yes</v>
      </c>
      <c r="G35" s="2">
        <f>IFERROR(__xludf.DUMMYFUNCTION("""COMPUTED_VALUE"""),0.5)</f>
        <v>0.5</v>
      </c>
      <c r="H35" s="2">
        <f>IFERROR(__xludf.DUMMYFUNCTION("""COMPUTED_VALUE"""),0.5)</f>
        <v>0.5</v>
      </c>
      <c r="I35" s="2">
        <f>IFERROR(__xludf.DUMMYFUNCTION("""COMPUTED_VALUE"""),0.5)</f>
        <v>0.5</v>
      </c>
      <c r="J35" s="2">
        <f>IFERROR(__xludf.DUMMYFUNCTION("""COMPUTED_VALUE"""),1.0)</f>
        <v>1</v>
      </c>
      <c r="K35" s="2" t="str">
        <f>IFERROR(__xludf.DUMMYFUNCTION("""COMPUTED_VALUE"""),"5 – High-quality, Clean Bangla speech")</f>
        <v>5 – High-quality, Clean Bangla speech</v>
      </c>
      <c r="L35" s="2" t="str">
        <f>IFERROR(__xludf.DUMMYFUNCTION("""COMPUTED_VALUE"""),"No")</f>
        <v>No</v>
      </c>
    </row>
    <row r="36">
      <c r="A36" s="2" t="str">
        <f>IFERROR(__xludf.DUMMYFUNCTION("""COMPUTED_VALUE"""),"collect/spontaneous/Dhaka FM/(বি কুল) BC - PROGRAM/47fb0455-afef-475b-b5fc-346797d90593.flac")</f>
        <v>collect/spontaneous/Dhaka FM/(বি কুল) BC - PROGRAM/47fb0455-afef-475b-b5fc-346797d90593.flac</v>
      </c>
      <c r="B36" s="2">
        <f>IFERROR(__xludf.DUMMYFUNCTION("""COMPUTED_VALUE"""),30.0)</f>
        <v>30</v>
      </c>
      <c r="C36" s="2" t="str">
        <f>IFERROR(__xludf.DUMMYFUNCTION("""COMPUTED_VALUE"""),"অনেক আগে তখন আমি ইন্টারমিডিয়েট পাশ করেছি বিকমে পড়ি তা আমার কিছু বন্ধু ছিল স্কার্টনে ওরা ওই সরকারি কোয়ার্টারে থাকত মানে ওদের বাবারা সরকারি উচ্চ পরদস্ত কর্মকর্তা ছিল লেটিস ক্লাবের পাশে আপনারা কিন্তু জানেন যে কতগুলো কলোনি ছিল খুব সরকারি অফিসারলা থাকত তা আমার"&amp;" বন্ধু সেখানে থাকত তা আমাকে একদিন হঠাৎ করে বলল যে আমি সব সময়ই ছোটবেলা থেকে পোলো াম অংশ খেতে খুব পছন্দ করি তা আমাকে ফোন দিয়ে বলল যে বিয়ে খেতে যাবি নাকি আমার একটা দাওয়াত আছে তুই চল টাইম্পু আমি তো খুব খুশ হয়ে গেলাম")</f>
        <v>অনেক আগে তখন আমি ইন্টারমিডিয়েট পাশ করেছি বিকমে পড়ি তা আমার কিছু বন্ধু ছিল স্কার্টনে ওরা ওই সরকারি কোয়ার্টারে থাকত মানে ওদের বাবারা সরকারি উচ্চ পরদস্ত কর্মকর্তা ছিল লেটিস ক্লাবের পাশে আপনারা কিন্তু জানেন যে কতগুলো কলোনি ছিল খুব সরকারি অফিসারলা থাকত তা আমার বন্ধু সেখানে থাকত তা আমাকে একদিন হঠাৎ করে বলল যে আমি সব সময়ই ছোটবেলা থেকে পোলো াম অংশ খেতে খুব পছন্দ করি তা আমাকে ফোন দিয়ে বলল যে বিয়ে খেতে যাবি নাকি আমার একটা দাওয়াত আছে তুই চল টাইম্পু আমি তো খুব খুশ হয়ে গেলাম</v>
      </c>
      <c r="D36" s="2" t="str">
        <f>IFERROR(__xludf.DUMMYFUNCTION("""COMPUTED_VALUE"""),"Yes")</f>
        <v>Yes</v>
      </c>
      <c r="E36" s="2" t="str">
        <f>IFERROR(__xludf.DUMMYFUNCTION("""COMPUTED_VALUE"""),"No")</f>
        <v>No</v>
      </c>
      <c r="F36" s="2" t="str">
        <f>IFERROR(__xludf.DUMMYFUNCTION("""COMPUTED_VALUE"""),"Yes")</f>
        <v>Yes</v>
      </c>
      <c r="G36" s="2">
        <f>IFERROR(__xludf.DUMMYFUNCTION("""COMPUTED_VALUE"""),0.5)</f>
        <v>0.5</v>
      </c>
      <c r="H36" s="2">
        <f>IFERROR(__xludf.DUMMYFUNCTION("""COMPUTED_VALUE"""),0.5)</f>
        <v>0.5</v>
      </c>
      <c r="I36" s="2">
        <f>IFERROR(__xludf.DUMMYFUNCTION("""COMPUTED_VALUE"""),0.5)</f>
        <v>0.5</v>
      </c>
      <c r="J36" s="2">
        <f>IFERROR(__xludf.DUMMYFUNCTION("""COMPUTED_VALUE"""),1.0)</f>
        <v>1</v>
      </c>
      <c r="K36" s="2"/>
      <c r="L36" s="2" t="str">
        <f>IFERROR(__xludf.DUMMYFUNCTION("""COMPUTED_VALUE"""),"Yes")</f>
        <v>Yes</v>
      </c>
    </row>
    <row r="37">
      <c r="A37" s="2" t="str">
        <f>IFERROR(__xludf.DUMMYFUNCTION("""COMPUTED_VALUE"""),"collect/spontaneous/Dhaka FM/(বি কুল) BC - PROGRAM/495b5d6c-6f57-4244-a00a-a08c2ef956ca.flac")</f>
        <v>collect/spontaneous/Dhaka FM/(বি কুল) BC - PROGRAM/495b5d6c-6f57-4244-a00a-a08c2ef956ca.flac</v>
      </c>
      <c r="B37" s="2">
        <f>IFERROR(__xludf.DUMMYFUNCTION("""COMPUTED_VALUE"""),30.0)</f>
        <v>30</v>
      </c>
      <c r="C37" s="2" t="str">
        <f>IFERROR(__xludf.DUMMYFUNCTION("""COMPUTED_VALUE"""),"াহাটার্টি করছি অনেক মেরমান্টে া আসছে সবাই আর আমিও তো পেনশার্ পড়া কোনো ভয় নি যে আমি খাবারটা দিলেই খাবো আাচ্ছা অমনসময় ওই টাইমে আমি হঠাৎ করে খেয়াল করলাম যে থিয়েটার স্কুলে আমার যেই দুই বন্ধু বেলিওডে বসেছিল দেখি যে তারা সিঁড়ি ধিয়ে উঠছে তাদেরকে দেখে আমি দৌড় দিয়"&amp;"ে আমি চিপা এক জায়গায় চলে গেলাম যে মানসম্মানের ব্যাপার ফাউ দিয়ে খেতে আসছি এই দুই বন্ধু তো থেয়েটার স্কুলে গিয়ে সবাইকে বলে দিবে আমি লোকোচুরি খেলা শুরু করলাম ওরা যখন দোতাালাহ উঠল আমি নিছতালাহ আসলাম যে দেখি নিজ তালায় আমি খাবো খেয়ে আমি চলে যাব াপ")</f>
        <v>াহাটার্টি করছি অনেক মেরমান্টে া আসছে সবাই আর আমিও তো পেনশার্ পড়া কোনো ভয় নি যে আমি খাবারটা দিলেই খাবো আাচ্ছা অমনসময় ওই টাইমে আমি হঠাৎ করে খেয়াল করলাম যে থিয়েটার স্কুলে আমার যেই দুই বন্ধু বেলিওডে বসেছিল দেখি যে তারা সিঁড়ি ধিয়ে উঠছে তাদেরকে দেখে আমি দৌড় দিয়ে আমি চিপা এক জায়গায় চলে গেলাম যে মানসম্মানের ব্যাপার ফাউ দিয়ে খেতে আসছি এই দুই বন্ধু তো থেয়েটার স্কুলে গিয়ে সবাইকে বলে দিবে আমি লোকোচুরি খেলা শুরু করলাম ওরা যখন দোতাালাহ উঠল আমি নিছতালাহ আসলাম যে দেখি নিজ তালায় আমি খাবো খেয়ে আমি চলে যাব াপ</v>
      </c>
      <c r="D37" s="2" t="str">
        <f>IFERROR(__xludf.DUMMYFUNCTION("""COMPUTED_VALUE"""),"Yes")</f>
        <v>Yes</v>
      </c>
      <c r="E37" s="2" t="str">
        <f>IFERROR(__xludf.DUMMYFUNCTION("""COMPUTED_VALUE"""),"Yes")</f>
        <v>Yes</v>
      </c>
      <c r="F37" s="2" t="str">
        <f>IFERROR(__xludf.DUMMYFUNCTION("""COMPUTED_VALUE"""),"No")</f>
        <v>No</v>
      </c>
      <c r="G37" s="2">
        <f>IFERROR(__xludf.DUMMYFUNCTION("""COMPUTED_VALUE"""),0.5)</f>
        <v>0.5</v>
      </c>
      <c r="H37" s="2">
        <f>IFERROR(__xludf.DUMMYFUNCTION("""COMPUTED_VALUE"""),1.0)</f>
        <v>1</v>
      </c>
      <c r="I37" s="2">
        <f>IFERROR(__xludf.DUMMYFUNCTION("""COMPUTED_VALUE"""),0.5)</f>
        <v>0.5</v>
      </c>
      <c r="J37" s="2">
        <f>IFERROR(__xludf.DUMMYFUNCTION("""COMPUTED_VALUE"""),1.0)</f>
        <v>1</v>
      </c>
      <c r="K37" s="2" t="str">
        <f>IFERROR(__xludf.DUMMYFUNCTION("""COMPUTED_VALUE"""),"5 – High-quality, Clean Bangla speech")</f>
        <v>5 – High-quality, Clean Bangla speech</v>
      </c>
      <c r="L37" s="2" t="str">
        <f>IFERROR(__xludf.DUMMYFUNCTION("""COMPUTED_VALUE"""),"No")</f>
        <v>No</v>
      </c>
    </row>
    <row r="38">
      <c r="A38" s="2" t="str">
        <f>IFERROR(__xludf.DUMMYFUNCTION("""COMPUTED_VALUE"""),"collect/spontaneous/Dhaka FM/(বি কুল) BC - PROGRAM/4d6f288c-0e1a-4dd8-9d15-e609cd4a74a5.flac")</f>
        <v>collect/spontaneous/Dhaka FM/(বি কুল) BC - PROGRAM/4d6f288c-0e1a-4dd8-9d15-e609cd4a74a5.flac</v>
      </c>
      <c r="B38" s="2">
        <f>IFERROR(__xludf.DUMMYFUNCTION("""COMPUTED_VALUE"""),30.0)</f>
        <v>30</v>
      </c>
      <c r="C38" s="2" t="str">
        <f>IFERROR(__xludf.DUMMYFUNCTION("""COMPUTED_VALUE"""),"সবাইকে স্বাগতে জানাচ্ছি বিপুল উইথ মুকুলে আমি মুকুল বড় বড় মতো আবারও হাজির হয়ে গেছি আপনাদের সাথে আর বিকুল জানেন আপনারা এমন একটা সহ যেখানে আমি কিছু কথা বলি আপনাদের কিছু বিনোদন দেয়ার চেষ্টা করি সে সাথে কিছু এ্যার্নেস বিল্ডআপ করারো চেষ্টা করে থাকি আজকে বিকুলে "&amp;"প্রথম যে বিষয়টা নিয়ে আমি কথা বলতে চাই সেটা হচ্ছে যে এই শোরটি আপনারা বেশি বেশি শেয়ার করবেন এবং শোহর নিচ্চে কমেন্ট করবেন দরকার হয় এই শোরটি নিয়ে আপনারা শেয়ারবাজারে পর্যন্ত চলে যাবেন অসুবিধা নয় ওে আমি এবার")</f>
        <v>সবাইকে স্বাগতে জানাচ্ছি বিপুল উইথ মুকুলে আমি মুকুল বড় বড় মতো আবারও হাজির হয়ে গেছি আপনাদের সাথে আর বিকুল জানেন আপনারা এমন একটা সহ যেখানে আমি কিছু কথা বলি আপনাদের কিছু বিনোদন দেয়ার চেষ্টা করি সে সাথে কিছু এ্যার্নেস বিল্ডআপ করারো চেষ্টা করে থাকি আজকে বিকুলে প্রথম যে বিষয়টা নিয়ে আমি কথা বলতে চাই সেটা হচ্ছে যে এই শোরটি আপনারা বেশি বেশি শেয়ার করবেন এবং শোহর নিচ্চে কমেন্ট করবেন দরকার হয় এই শোরটি নিয়ে আপনারা শেয়ারবাজারে পর্যন্ত চলে যাবেন অসুবিধা নয় ওে আমি এবার</v>
      </c>
      <c r="D38" s="2" t="str">
        <f>IFERROR(__xludf.DUMMYFUNCTION("""COMPUTED_VALUE"""),"Yes")</f>
        <v>Yes</v>
      </c>
      <c r="E38" s="2" t="str">
        <f>IFERROR(__xludf.DUMMYFUNCTION("""COMPUTED_VALUE"""),"No")</f>
        <v>No</v>
      </c>
      <c r="F38" s="2" t="str">
        <f>IFERROR(__xludf.DUMMYFUNCTION("""COMPUTED_VALUE"""),"Yes")</f>
        <v>Yes</v>
      </c>
      <c r="G38" s="2">
        <f>IFERROR(__xludf.DUMMYFUNCTION("""COMPUTED_VALUE"""),0.5)</f>
        <v>0.5</v>
      </c>
      <c r="H38" s="2">
        <f>IFERROR(__xludf.DUMMYFUNCTION("""COMPUTED_VALUE"""),1.0)</f>
        <v>1</v>
      </c>
      <c r="I38" s="2">
        <f>IFERROR(__xludf.DUMMYFUNCTION("""COMPUTED_VALUE"""),0.5)</f>
        <v>0.5</v>
      </c>
      <c r="J38" s="2">
        <f>IFERROR(__xludf.DUMMYFUNCTION("""COMPUTED_VALUE"""),1.0)</f>
        <v>1</v>
      </c>
      <c r="K38" s="2" t="str">
        <f>IFERROR(__xludf.DUMMYFUNCTION("""COMPUTED_VALUE"""),"5 – High-quality, Clean Bangla speech")</f>
        <v>5 – High-quality, Clean Bangla speech</v>
      </c>
      <c r="L38" s="2" t="str">
        <f>IFERROR(__xludf.DUMMYFUNCTION("""COMPUTED_VALUE"""),"No")</f>
        <v>No</v>
      </c>
    </row>
    <row r="39">
      <c r="A39" s="2" t="str">
        <f>IFERROR(__xludf.DUMMYFUNCTION("""COMPUTED_VALUE"""),"collect/spontaneous/Dhaka FM/(বি কুল) BC - PROGRAM/4f970a5c-edaf-4db6-9d29-ef9d8d961267.flac")</f>
        <v>collect/spontaneous/Dhaka FM/(বি কুল) BC - PROGRAM/4f970a5c-edaf-4db6-9d29-ef9d8d961267.flac</v>
      </c>
      <c r="B39" s="2">
        <f>IFERROR(__xludf.DUMMYFUNCTION("""COMPUTED_VALUE"""),30.0)</f>
        <v>30</v>
      </c>
      <c r="C39" s="2" t="str">
        <f>IFERROR(__xludf.DUMMYFUNCTION("""COMPUTED_VALUE"""),"করে দেখতে পারে এবার ছোট্ট একটা জোগ বলি আপনাদেরকে সেটা হচ্ছে যে মাঝে মাঝে বিরক্ত লাগে না এই যে এত গেজেট এত কিছু মোবাইল তাপর আইপড এরকম জিনিস কম্পিউটার ল্যাপটাঅপ সব কিছু মিলে বিরক্ত হয়ে যায় এটা দুই বন্তু একবার চিন্তা করল যে আমরা আর মোবাইল ফোন ইউজ করব না আমরা"&amp;" দুটি কভুতর কিনে পালব পালার পর আমরা করব কি কভুতরের মাধ্যমে আমাদের আদান প্রদান করব আমাদের কথা বাত্তাগুলা যে প্রেমের মতো প্রেমের ছবির মতো কর কো মেনে পেয়ার কেে")</f>
        <v>করে দেখতে পারে এবার ছোট্ট একটা জোগ বলি আপনাদেরকে সেটা হচ্ছে যে মাঝে মাঝে বিরক্ত লাগে না এই যে এত গেজেট এত কিছু মোবাইল তাপর আইপড এরকম জিনিস কম্পিউটার ল্যাপটাঅপ সব কিছু মিলে বিরক্ত হয়ে যায় এটা দুই বন্তু একবার চিন্তা করল যে আমরা আর মোবাইল ফোন ইউজ করব না আমরা দুটি কভুতর কিনে পালব পালার পর আমরা করব কি কভুতরের মাধ্যমে আমাদের আদান প্রদান করব আমাদের কথা বাত্তাগুলা যে প্রেমের মতো প্রেমের ছবির মতো কর কো মেনে পেয়ার কেে</v>
      </c>
      <c r="D39" s="2" t="str">
        <f>IFERROR(__xludf.DUMMYFUNCTION("""COMPUTED_VALUE"""),"Yes")</f>
        <v>Yes</v>
      </c>
      <c r="E39" s="2" t="str">
        <f>IFERROR(__xludf.DUMMYFUNCTION("""COMPUTED_VALUE"""),"No")</f>
        <v>No</v>
      </c>
      <c r="F39" s="2" t="str">
        <f>IFERROR(__xludf.DUMMYFUNCTION("""COMPUTED_VALUE"""),"Yes")</f>
        <v>Yes</v>
      </c>
      <c r="G39" s="2">
        <f>IFERROR(__xludf.DUMMYFUNCTION("""COMPUTED_VALUE"""),0.5)</f>
        <v>0.5</v>
      </c>
      <c r="H39" s="2">
        <f>IFERROR(__xludf.DUMMYFUNCTION("""COMPUTED_VALUE"""),1.0)</f>
        <v>1</v>
      </c>
      <c r="I39" s="2">
        <f>IFERROR(__xludf.DUMMYFUNCTION("""COMPUTED_VALUE"""),0.5)</f>
        <v>0.5</v>
      </c>
      <c r="J39" s="2">
        <f>IFERROR(__xludf.DUMMYFUNCTION("""COMPUTED_VALUE"""),1.0)</f>
        <v>1</v>
      </c>
      <c r="K39" s="2" t="str">
        <f>IFERROR(__xludf.DUMMYFUNCTION("""COMPUTED_VALUE"""),"5 – High-quality, Clean Bangla speech")</f>
        <v>5 – High-quality, Clean Bangla speech</v>
      </c>
      <c r="L39" s="2" t="str">
        <f>IFERROR(__xludf.DUMMYFUNCTION("""COMPUTED_VALUE"""),"Yes")</f>
        <v>Yes</v>
      </c>
    </row>
    <row r="40">
      <c r="A40" s="2" t="str">
        <f>IFERROR(__xludf.DUMMYFUNCTION("""COMPUTED_VALUE"""),"collect/spontaneous/Dhaka FM/(বি কুল) BC - PROGRAM/59432116-a6ee-4cd6-bf10-b93dddfae81a.flac")</f>
        <v>collect/spontaneous/Dhaka FM/(বি কুল) BC - PROGRAM/59432116-a6ee-4cd6-bf10-b93dddfae81a.flac</v>
      </c>
      <c r="B40" s="2">
        <f>IFERROR(__xludf.DUMMYFUNCTION("""COMPUTED_VALUE"""),30.0)</f>
        <v>30</v>
      </c>
      <c r="C40" s="2" t="str">
        <f>IFERROR(__xludf.DUMMYFUNCTION("""COMPUTED_VALUE"""),"এবা একটা জোখ বলি আপনাকে জোগত সোল কোনো বাপদাতার সম্পত্তি না সবসময় বলি আর কখনো জোকস বলবেন না জোকস বললে দুইটা বলতে হবে সবসময় বলবেন যে একটা জো আর এটা হচ্ছে আমার গুরু শাহরিয়ার শরীফ ভাই শিখিয়েছে যে একটা করে যোগ বলবেন আপনি ওকে এটা এক লোক একজনের একটা ঘড়ি চুরি করে"&amp;"ছে ঘড়ি চুরি করার পর লোকজন তাকে ধরে ফেলেছে ধরে ফেলার পর তখন তাকে উত্তমমাধ্যম দিচ্ছে সে বারে বারে বলছে যে আমি নেই নিয়ে আমি নেই নি আমি তো নেইনি আমি নেই নিশিে দিয়েছে তা পদে কী ব্যাপার মানে তুমি ঘড়ি নেওয়া নাই তোমার কাছে ঘড়ি তুি")</f>
        <v>এবা একটা জোখ বলি আপনাকে জোগত সোল কোনো বাপদাতার সম্পত্তি না সবসময় বলি আর কখনো জোকস বলবেন না জোকস বললে দুইটা বলতে হবে সবসময় বলবেন যে একটা জো আর এটা হচ্ছে আমার গুরু শাহরিয়ার শরীফ ভাই শিখিয়েছে যে একটা করে যোগ বলবেন আপনি ওকে এটা এক লোক একজনের একটা ঘড়ি চুরি করেছে ঘড়ি চুরি করার পর লোকজন তাকে ধরে ফেলেছে ধরে ফেলার পর তখন তাকে উত্তমমাধ্যম দিচ্ছে সে বারে বারে বলছে যে আমি নেই নিয়ে আমি নেই নি আমি তো নেইনি আমি নেই নিশিে দিয়েছে তা পদে কী ব্যাপার মানে তুমি ঘড়ি নেওয়া নাই তোমার কাছে ঘড়ি তুি</v>
      </c>
      <c r="D40" s="2" t="str">
        <f>IFERROR(__xludf.DUMMYFUNCTION("""COMPUTED_VALUE"""),"Yes")</f>
        <v>Yes</v>
      </c>
      <c r="E40" s="2" t="str">
        <f>IFERROR(__xludf.DUMMYFUNCTION("""COMPUTED_VALUE"""),"No")</f>
        <v>No</v>
      </c>
      <c r="F40" s="2" t="str">
        <f>IFERROR(__xludf.DUMMYFUNCTION("""COMPUTED_VALUE"""),"Yes")</f>
        <v>Yes</v>
      </c>
      <c r="G40" s="2">
        <f>IFERROR(__xludf.DUMMYFUNCTION("""COMPUTED_VALUE"""),0.5)</f>
        <v>0.5</v>
      </c>
      <c r="H40" s="2">
        <f>IFERROR(__xludf.DUMMYFUNCTION("""COMPUTED_VALUE"""),1.0)</f>
        <v>1</v>
      </c>
      <c r="I40" s="2">
        <f>IFERROR(__xludf.DUMMYFUNCTION("""COMPUTED_VALUE"""),0.5)</f>
        <v>0.5</v>
      </c>
      <c r="J40" s="2">
        <f>IFERROR(__xludf.DUMMYFUNCTION("""COMPUTED_VALUE"""),1.0)</f>
        <v>1</v>
      </c>
      <c r="K40" s="2" t="str">
        <f>IFERROR(__xludf.DUMMYFUNCTION("""COMPUTED_VALUE"""),"5 – High-quality, Clean Bangla speech")</f>
        <v>5 – High-quality, Clean Bangla speech</v>
      </c>
      <c r="L40" s="2" t="str">
        <f>IFERROR(__xludf.DUMMYFUNCTION("""COMPUTED_VALUE"""),"No")</f>
        <v>No</v>
      </c>
    </row>
    <row r="41">
      <c r="A41" s="2" t="str">
        <f>IFERROR(__xludf.DUMMYFUNCTION("""COMPUTED_VALUE"""),"collect/spontaneous/Dhaka FM/(বি কুল) BC - PROGRAM/6012c6da-12f9-4a0b-9c91-b0d54a171e0e.flac")</f>
        <v>collect/spontaneous/Dhaka FM/(বি কুল) BC - PROGRAM/6012c6da-12f9-4a0b-9c91-b0d54a171e0e.flac</v>
      </c>
      <c r="B41" s="2">
        <f>IFERROR(__xludf.DUMMYFUNCTION("""COMPUTED_VALUE"""),30.0)</f>
        <v>30</v>
      </c>
      <c r="C41" s="2" t="str">
        <f>IFERROR(__xludf.DUMMYFUNCTION("""COMPUTED_VALUE"""),"ইঞ্চিত আনন্দ দেয়ার চেষ্টা করি আমি জানি না আপনারা কতটা আনন্দিত হন তবে যাইহোক কথা না বাড়িয়ে আজকে শুরু করছি আজকেও এমন কিছু কথা বলব রিয়েলিস্টিক লাইফের কিছু কথা খুব মজার মজার কিছু কথা সবার জীবনে ঘটে থাকে সেই কথাগুলোই শেয়ার করি আজে প্রথমে আপনাদেরকে একটা প্রশ্ন "&amp;"করি যে কারা আন্দোলন না করেও চুরিদারি না করেও পুলিশের মার খান আপনি কি একটু চিন্তা করতে পারছেন একটু ভেবে দেখেন তো আছে যাক বেশি পেশার দিব না আপনাদেরকে মানে আন্দোলন না করেও")</f>
        <v>ইঞ্চিত আনন্দ দেয়ার চেষ্টা করি আমি জানি না আপনারা কতটা আনন্দিত হন তবে যাইহোক কথা না বাড়িয়ে আজকে শুরু করছি আজকেও এমন কিছু কথা বলব রিয়েলিস্টিক লাইফের কিছু কথা খুব মজার মজার কিছু কথা সবার জীবনে ঘটে থাকে সেই কথাগুলোই শেয়ার করি আজে প্রথমে আপনাদেরকে একটা প্রশ্ন করি যে কারা আন্দোলন না করেও চুরিদারি না করেও পুলিশের মার খান আপনি কি একটু চিন্তা করতে পারছেন একটু ভেবে দেখেন তো আছে যাক বেশি পেশার দিব না আপনাদেরকে মানে আন্দোলন না করেও</v>
      </c>
      <c r="D41" s="2" t="str">
        <f>IFERROR(__xludf.DUMMYFUNCTION("""COMPUTED_VALUE"""),"Yes")</f>
        <v>Yes</v>
      </c>
      <c r="E41" s="2" t="str">
        <f>IFERROR(__xludf.DUMMYFUNCTION("""COMPUTED_VALUE"""),"No")</f>
        <v>No</v>
      </c>
      <c r="F41" s="2" t="str">
        <f>IFERROR(__xludf.DUMMYFUNCTION("""COMPUTED_VALUE"""),"Yes")</f>
        <v>Yes</v>
      </c>
      <c r="G41" s="2">
        <f>IFERROR(__xludf.DUMMYFUNCTION("""COMPUTED_VALUE"""),0.5)</f>
        <v>0.5</v>
      </c>
      <c r="H41" s="2">
        <f>IFERROR(__xludf.DUMMYFUNCTION("""COMPUTED_VALUE"""),1.0)</f>
        <v>1</v>
      </c>
      <c r="I41" s="2">
        <f>IFERROR(__xludf.DUMMYFUNCTION("""COMPUTED_VALUE"""),1.0)</f>
        <v>1</v>
      </c>
      <c r="J41" s="2">
        <f>IFERROR(__xludf.DUMMYFUNCTION("""COMPUTED_VALUE"""),1.0)</f>
        <v>1</v>
      </c>
      <c r="K41" s="2" t="str">
        <f>IFERROR(__xludf.DUMMYFUNCTION("""COMPUTED_VALUE"""),"5 – High-quality, Clean Bangla speech")</f>
        <v>5 – High-quality, Clean Bangla speech</v>
      </c>
      <c r="L41" s="2" t="str">
        <f>IFERROR(__xludf.DUMMYFUNCTION("""COMPUTED_VALUE"""),"Yes")</f>
        <v>Yes</v>
      </c>
    </row>
    <row r="42">
      <c r="A42" s="2" t="str">
        <f>IFERROR(__xludf.DUMMYFUNCTION("""COMPUTED_VALUE"""),"collect/spontaneous/Dhaka FM/(বি কুল) BC - PROGRAM/62de5e85-5b6b-4aad-b44d-c5ee720b02ce.flac")</f>
        <v>collect/spontaneous/Dhaka FM/(বি কুল) BC - PROGRAM/62de5e85-5b6b-4aad-b44d-c5ee720b02ce.flac</v>
      </c>
      <c r="B42" s="2">
        <f>IFERROR(__xludf.DUMMYFUNCTION("""COMPUTED_VALUE"""),30.0)</f>
        <v>30</v>
      </c>
      <c r="C42" s="2" t="str">
        <f>IFERROR(__xludf.DUMMYFUNCTION("""COMPUTED_VALUE"""),"জাস্টচিমেয় গেল মাধ্যম ে চুচ চুপসে যায় না চুপসাব যায় সোজা বাংলা একি আমি ভয়ে কোনো কিছু করতে পারছি আমি একটু বোড়ায়ন নিলাম আমার হাত কাপা শুরু হয়লো বোলানি নিয়ে এবং কললাম তাপর ওরা দুজন দিব্বি খেল বিশ্বাস করেন আমি কিছু খেতে পারলাম না আমি একটু রোসটা একটু ছিললাম আম"&amp;"ার হাত পা কাঁপছে যে কখন ধরা খাওয়ার পরে আমি কী বলব এটা কেন রা দুজনতা আমার নাম দিয়ে বেঁচে যাবে তারপর ওরা দুজন দিব্যি খেল আর আমি ঠিকভাবে বিয়েটা খেতে পারলাম না তারপর ওদের সাথে বলল যে ভাইয়া কী বেড়বে আমি নাম বেরব চল একসাথে বেড়িয়ে গেলে")</f>
        <v>জাস্টচিমেয় গেল মাধ্যম ে চুচ চুপসে যায় না চুপসাব যায় সোজা বাংলা একি আমি ভয়ে কোনো কিছু করতে পারছি আমি একটু বোড়ায়ন নিলাম আমার হাত কাপা শুরু হয়লো বোলানি নিয়ে এবং কললাম তাপর ওরা দুজন দিব্বি খেল বিশ্বাস করেন আমি কিছু খেতে পারলাম না আমি একটু রোসটা একটু ছিললাম আমার হাত পা কাঁপছে যে কখন ধরা খাওয়ার পরে আমি কী বলব এটা কেন রা দুজনতা আমার নাম দিয়ে বেঁচে যাবে তারপর ওরা দুজন দিব্যি খেল আর আমি ঠিকভাবে বিয়েটা খেতে পারলাম না তারপর ওদের সাথে বলল যে ভাইয়া কী বেড়বে আমি নাম বেরব চল একসাথে বেড়িয়ে গেলে</v>
      </c>
      <c r="D42" s="2" t="str">
        <f>IFERROR(__xludf.DUMMYFUNCTION("""COMPUTED_VALUE"""),"Yes")</f>
        <v>Yes</v>
      </c>
      <c r="E42" s="2" t="str">
        <f>IFERROR(__xludf.DUMMYFUNCTION("""COMPUTED_VALUE"""),"No")</f>
        <v>No</v>
      </c>
      <c r="F42" s="2" t="str">
        <f>IFERROR(__xludf.DUMMYFUNCTION("""COMPUTED_VALUE"""),"Yes")</f>
        <v>Yes</v>
      </c>
      <c r="G42" s="2">
        <f>IFERROR(__xludf.DUMMYFUNCTION("""COMPUTED_VALUE"""),0.0)</f>
        <v>0</v>
      </c>
      <c r="H42" s="2">
        <f>IFERROR(__xludf.DUMMYFUNCTION("""COMPUTED_VALUE"""),0.5)</f>
        <v>0.5</v>
      </c>
      <c r="I42" s="2">
        <f>IFERROR(__xludf.DUMMYFUNCTION("""COMPUTED_VALUE"""),0.5)</f>
        <v>0.5</v>
      </c>
      <c r="J42" s="2">
        <f>IFERROR(__xludf.DUMMYFUNCTION("""COMPUTED_VALUE"""),1.0)</f>
        <v>1</v>
      </c>
      <c r="K42" s="2" t="str">
        <f>IFERROR(__xludf.DUMMYFUNCTION("""COMPUTED_VALUE"""),"5 – High-quality, Clean Bangla speech")</f>
        <v>5 – High-quality, Clean Bangla speech</v>
      </c>
      <c r="L42" s="2" t="str">
        <f>IFERROR(__xludf.DUMMYFUNCTION("""COMPUTED_VALUE"""),"Yes")</f>
        <v>Yes</v>
      </c>
    </row>
    <row r="43">
      <c r="A43" s="2" t="str">
        <f>IFERROR(__xludf.DUMMYFUNCTION("""COMPUTED_VALUE"""),"collect/spontaneous/Dhaka FM/(বি কুল) BC - PROGRAM/6301fd9e-7024-477b-bb8c-73befad7607e.flac")</f>
        <v>collect/spontaneous/Dhaka FM/(বি কুল) BC - PROGRAM/6301fd9e-7024-477b-bb8c-73befad7607e.flac</v>
      </c>
      <c r="B43" s="2">
        <f>IFERROR(__xludf.DUMMYFUNCTION("""COMPUTED_VALUE"""),30.0)</f>
        <v>30</v>
      </c>
      <c r="C43" s="2" t="str">
        <f>IFERROR(__xludf.DUMMYFUNCTION("""COMPUTED_VALUE"""),"কে প্রথম যে কথাটা বলতে চাই আমাকে ছিনস তখ প্রতি উত্তরে আরেকজন বলল যে না আপনাকে আমি চিনি না আপনারের চিনা আমি কী করুন এ হচ্ছে গল্পটা টে গল্পটা শুরু করি সেটা হচ্ছে যে কয়েক বছর আগে আমি রিকশা করে রামপুরা থেকে অফিসের দিকে আসছিলাম তা হাতি ঝিলের মুখে একটা জ্যাম পড়"&amp;"ে আপনারা জানেন যেখান থেকে গাড়ি বের হয় এখানে থিকে রিকশা রিকশা যায় ত এরকম একটা অবস্থায় একটা গাড়ি আসলো আর একটা রিকশা এসে গাড়িটাকে লাগিয়ে দিল া রিকশার")</f>
        <v>কে প্রথম যে কথাটা বলতে চাই আমাকে ছিনস তখ প্রতি উত্তরে আরেকজন বলল যে না আপনাকে আমি চিনি না আপনারের চিনা আমি কী করুন এ হচ্ছে গল্পটা টে গল্পটা শুরু করি সেটা হচ্ছে যে কয়েক বছর আগে আমি রিকশা করে রামপুরা থেকে অফিসের দিকে আসছিলাম তা হাতি ঝিলের মুখে একটা জ্যাম পড়ে আপনারা জানেন যেখান থেকে গাড়ি বের হয় এখানে থিকে রিকশা রিকশা যায় ত এরকম একটা অবস্থায় একটা গাড়ি আসলো আর একটা রিকশা এসে গাড়িটাকে লাগিয়ে দিল া রিকশার</v>
      </c>
      <c r="D43" s="2" t="str">
        <f>IFERROR(__xludf.DUMMYFUNCTION("""COMPUTED_VALUE"""),"Yes")</f>
        <v>Yes</v>
      </c>
      <c r="E43" s="2" t="str">
        <f>IFERROR(__xludf.DUMMYFUNCTION("""COMPUTED_VALUE"""),"No")</f>
        <v>No</v>
      </c>
      <c r="F43" s="2" t="str">
        <f>IFERROR(__xludf.DUMMYFUNCTION("""COMPUTED_VALUE"""),"No")</f>
        <v>No</v>
      </c>
      <c r="G43" s="2">
        <f>IFERROR(__xludf.DUMMYFUNCTION("""COMPUTED_VALUE"""),0.5)</f>
        <v>0.5</v>
      </c>
      <c r="H43" s="2">
        <f>IFERROR(__xludf.DUMMYFUNCTION("""COMPUTED_VALUE"""),1.0)</f>
        <v>1</v>
      </c>
      <c r="I43" s="2">
        <f>IFERROR(__xludf.DUMMYFUNCTION("""COMPUTED_VALUE"""),1.0)</f>
        <v>1</v>
      </c>
      <c r="J43" s="2">
        <f>IFERROR(__xludf.DUMMYFUNCTION("""COMPUTED_VALUE"""),1.0)</f>
        <v>1</v>
      </c>
      <c r="K43" s="2" t="str">
        <f>IFERROR(__xludf.DUMMYFUNCTION("""COMPUTED_VALUE"""),"5 – High-quality, Clean Bangla speech")</f>
        <v>5 – High-quality, Clean Bangla speech</v>
      </c>
      <c r="L43" s="2" t="str">
        <f>IFERROR(__xludf.DUMMYFUNCTION("""COMPUTED_VALUE"""),"No")</f>
        <v>No</v>
      </c>
    </row>
    <row r="44">
      <c r="A44" s="2" t="str">
        <f>IFERROR(__xludf.DUMMYFUNCTION("""COMPUTED_VALUE"""),"collect/spontaneous/Dhaka FM/(বি কুল) BC - PROGRAM/67375d71-cd32-408a-b9a4-933664081b8d.flac")</f>
        <v>collect/spontaneous/Dhaka FM/(বি কুল) BC - PROGRAM/67375d71-cd32-408a-b9a4-933664081b8d.flac</v>
      </c>
      <c r="B44" s="2">
        <f>IFERROR(__xludf.DUMMYFUNCTION("""COMPUTED_VALUE"""),30.0)</f>
        <v>30</v>
      </c>
      <c r="C44" s="2" t="str">
        <f>IFERROR(__xludf.DUMMYFUNCTION("""COMPUTED_VALUE"""),"প্রেসে সত্যি ঘটনা কিন্তু খুব ভাষ্যকর তারপর সে একদিন রাতে বেলা জিনিসপত্র নিয়ে অফিস থেকে চলে গেল সকাল বেলা সে পালিয়ে গেল আর প্রেসে আসলো না তারপরের দিন আমার যে পরিচিত ভাই সে প্রেসে গেল গিয়ে দেখলো যে তার কম্পোজার যেখানে কাজ করে সেখানে মনিটর কিবোর্ট আর মাউজটা "&amp;"নেই কিন্তু সিপিওটা আছে সে ওই জিনিসগুলো চুরি করে নিয়ে গেছে তারপরে যে কারণটা বের হলো চোরকে পড়ে ধরা হয়েছে জিনিসগুলো আনা হয়েছে যেহেতু গ্রামের মানুষ চোর মনে করেছি")</f>
        <v>প্রেসে সত্যি ঘটনা কিন্তু খুব ভাষ্যকর তারপর সে একদিন রাতে বেলা জিনিসপত্র নিয়ে অফিস থেকে চলে গেল সকাল বেলা সে পালিয়ে গেল আর প্রেসে আসলো না তারপরের দিন আমার যে পরিচিত ভাই সে প্রেসে গেল গিয়ে দেখলো যে তার কম্পোজার যেখানে কাজ করে সেখানে মনিটর কিবোর্ট আর মাউজটা নেই কিন্তু সিপিওটা আছে সে ওই জিনিসগুলো চুরি করে নিয়ে গেছে তারপরে যে কারণটা বের হলো চোরকে পড়ে ধরা হয়েছে জিনিসগুলো আনা হয়েছে যেহেতু গ্রামের মানুষ চোর মনে করেছি</v>
      </c>
      <c r="D44" s="2" t="str">
        <f>IFERROR(__xludf.DUMMYFUNCTION("""COMPUTED_VALUE"""),"Yes")</f>
        <v>Yes</v>
      </c>
      <c r="E44" s="2" t="str">
        <f>IFERROR(__xludf.DUMMYFUNCTION("""COMPUTED_VALUE"""),"No")</f>
        <v>No</v>
      </c>
      <c r="F44" s="2" t="str">
        <f>IFERROR(__xludf.DUMMYFUNCTION("""COMPUTED_VALUE"""),"No")</f>
        <v>No</v>
      </c>
      <c r="G44" s="2">
        <f>IFERROR(__xludf.DUMMYFUNCTION("""COMPUTED_VALUE"""),1.0)</f>
        <v>1</v>
      </c>
      <c r="H44" s="2">
        <f>IFERROR(__xludf.DUMMYFUNCTION("""COMPUTED_VALUE"""),1.0)</f>
        <v>1</v>
      </c>
      <c r="I44" s="2">
        <f>IFERROR(__xludf.DUMMYFUNCTION("""COMPUTED_VALUE"""),1.0)</f>
        <v>1</v>
      </c>
      <c r="J44" s="2">
        <f>IFERROR(__xludf.DUMMYFUNCTION("""COMPUTED_VALUE"""),1.0)</f>
        <v>1</v>
      </c>
      <c r="K44" s="2" t="str">
        <f>IFERROR(__xludf.DUMMYFUNCTION("""COMPUTED_VALUE"""),"5 – High-quality, Clean Bangla speech")</f>
        <v>5 – High-quality, Clean Bangla speech</v>
      </c>
      <c r="L44" s="2" t="str">
        <f>IFERROR(__xludf.DUMMYFUNCTION("""COMPUTED_VALUE"""),"No")</f>
        <v>No</v>
      </c>
    </row>
    <row r="45">
      <c r="A45" s="2" t="str">
        <f>IFERROR(__xludf.DUMMYFUNCTION("""COMPUTED_VALUE"""),"collect/spontaneous/Dhaka FM/(বি কুল) BC - PROGRAM/6aa52a5e-b045-41be-b350-8bdd645ab628.flac")</f>
        <v>collect/spontaneous/Dhaka FM/(বি কুল) BC - PROGRAM/6aa52a5e-b045-41be-b350-8bdd645ab628.flac</v>
      </c>
      <c r="B45" s="2">
        <f>IFERROR(__xludf.DUMMYFUNCTION("""COMPUTED_VALUE"""),30.0)</f>
        <v>30</v>
      </c>
      <c r="C45" s="2" t="str">
        <f>IFERROR(__xludf.DUMMYFUNCTION("""COMPUTED_VALUE"""),"এনিে আমরা নানা কম সমস্যার মধ্যে রয়েছি আমরা তার দুঃখ কেনার জন্য বসে থাকব না আচ্ছা যাই হোক এই ফেইসবুকের ফেক আইডি নিয়ে আপনাদের সাথে কথা বললাম এবার একটা প্রশ্ন করি আপনাদেরকে প্রশ্নটা হচ্ছে আপনি একটা লরটারি কিনেছেন আর একজন একটা বিয়ে করেছে দুইজন একজন একটা লটারি"&amp;" কিনেছে একজন একটা বিয়ে করেছে তাই দুইজনের মধ্যে কটা পার্থক্য আছে এটা কি বলতে পারবেন আপনি যেহেতু আমার সাথে আসলে ফিটব্যাকের কোনো ব্যাপার নি সোটা আমি করছি আপনি কমেন্ট করতে হবে দেরি হয়ে যাবে তা আমার এ")</f>
        <v>এনিে আমরা নানা কম সমস্যার মধ্যে রয়েছি আমরা তার দুঃখ কেনার জন্য বসে থাকব না আচ্ছা যাই হোক এই ফেইসবুকের ফেক আইডি নিয়ে আপনাদের সাথে কথা বললাম এবার একটা প্রশ্ন করি আপনাদেরকে প্রশ্নটা হচ্ছে আপনি একটা লরটারি কিনেছেন আর একজন একটা বিয়ে করেছে দুইজন একজন একটা লটারি কিনেছে একজন একটা বিয়ে করেছে তাই দুইজনের মধ্যে কটা পার্থক্য আছে এটা কি বলতে পারবেন আপনি যেহেতু আমার সাথে আসলে ফিটব্যাকের কোনো ব্যাপার নি সোটা আমি করছি আপনি কমেন্ট করতে হবে দেরি হয়ে যাবে তা আমার এ</v>
      </c>
      <c r="D45" s="2" t="str">
        <f>IFERROR(__xludf.DUMMYFUNCTION("""COMPUTED_VALUE"""),"Yes")</f>
        <v>Yes</v>
      </c>
      <c r="E45" s="2" t="str">
        <f>IFERROR(__xludf.DUMMYFUNCTION("""COMPUTED_VALUE"""),"No")</f>
        <v>No</v>
      </c>
      <c r="F45" s="2" t="str">
        <f>IFERROR(__xludf.DUMMYFUNCTION("""COMPUTED_VALUE"""),"Yes")</f>
        <v>Yes</v>
      </c>
      <c r="G45" s="2">
        <f>IFERROR(__xludf.DUMMYFUNCTION("""COMPUTED_VALUE"""),0.5)</f>
        <v>0.5</v>
      </c>
      <c r="H45" s="2">
        <f>IFERROR(__xludf.DUMMYFUNCTION("""COMPUTED_VALUE"""),1.0)</f>
        <v>1</v>
      </c>
      <c r="I45" s="2">
        <f>IFERROR(__xludf.DUMMYFUNCTION("""COMPUTED_VALUE"""),0.5)</f>
        <v>0.5</v>
      </c>
      <c r="J45" s="2">
        <f>IFERROR(__xludf.DUMMYFUNCTION("""COMPUTED_VALUE"""),1.0)</f>
        <v>1</v>
      </c>
      <c r="K45" s="2" t="str">
        <f>IFERROR(__xludf.DUMMYFUNCTION("""COMPUTED_VALUE"""),"5 – High-quality, Clean Bangla speech")</f>
        <v>5 – High-quality, Clean Bangla speech</v>
      </c>
      <c r="L45" s="2" t="str">
        <f>IFERROR(__xludf.DUMMYFUNCTION("""COMPUTED_VALUE"""),"Yes")</f>
        <v>Yes</v>
      </c>
    </row>
    <row r="46">
      <c r="A46" s="2" t="str">
        <f>IFERROR(__xludf.DUMMYFUNCTION("""COMPUTED_VALUE"""),"collect/spontaneous/Dhaka FM/(বি কুল) BC - PROGRAM/6cd25f8e-8d53-4ac8-8b26-1a6716b586e7.flac")</f>
        <v>collect/spontaneous/Dhaka FM/(বি কুল) BC - PROGRAM/6cd25f8e-8d53-4ac8-8b26-1a6716b586e7.flac</v>
      </c>
      <c r="B46" s="2">
        <f>IFERROR(__xludf.DUMMYFUNCTION("""COMPUTED_VALUE"""),30.0)</f>
        <v>30</v>
      </c>
      <c r="C46" s="2" t="str">
        <f>IFERROR(__xludf.DUMMYFUNCTION("""COMPUTED_VALUE"""),"নকে একসাথে লাইন দলে দাড়া করাল করানের পর একজনকে একজনকে দিয়ে সে ঝিপ দিয়েছে টে এই চিন্টা ঠতে পারেন এ ধরনের স্যারে কথা চিন্তা উরতে পারেন রেজুরাল স্যারকে আল্লাহ বাঁচিয়ে রাখুক আমি জানি না কেমন আছেন স্যার স্যারের কথা মনে পড়ল স্যারের সেই শাস্তির কথা মনে পড়ল আমরা "&amp;"আঠারো জন আঠারোবার এরকম চেটে চেটে আঠারো টুকরা খেয়েছি ওই কেক এর মতো মনে হচ্ছে কেক খাওয়াচ্ছে হুছেন কুপারসের কেক খাওয়াচ্ছে এই জুতার ডাকটা সে আঠারো জনকে দিয়ে মুছেছে তারপর শিক্ষা হয়ে গেছে তাপর রেজাউল সারেরশাথে আর বিশি")</f>
        <v>নকে একসাথে লাইন দলে দাড়া করাল করানের পর একজনকে একজনকে দিয়ে সে ঝিপ দিয়েছে টে এই চিন্টা ঠতে পারেন এ ধরনের স্যারে কথা চিন্তা উরতে পারেন রেজুরাল স্যারকে আল্লাহ বাঁচিয়ে রাখুক আমি জানি না কেমন আছেন স্যার স্যারের কথা মনে পড়ল স্যারের সেই শাস্তির কথা মনে পড়ল আমরা আঠারো জন আঠারোবার এরকম চেটে চেটে আঠারো টুকরা খেয়েছি ওই কেক এর মতো মনে হচ্ছে কেক খাওয়াচ্ছে হুছেন কুপারসের কেক খাওয়াচ্ছে এই জুতার ডাকটা সে আঠারো জনকে দিয়ে মুছেছে তারপর শিক্ষা হয়ে গেছে তাপর রেজাউল সারেরশাথে আর বিশি</v>
      </c>
      <c r="D46" s="2" t="str">
        <f>IFERROR(__xludf.DUMMYFUNCTION("""COMPUTED_VALUE"""),"Yes")</f>
        <v>Yes</v>
      </c>
      <c r="E46" s="2" t="str">
        <f>IFERROR(__xludf.DUMMYFUNCTION("""COMPUTED_VALUE"""),"No")</f>
        <v>No</v>
      </c>
      <c r="F46" s="2" t="str">
        <f>IFERROR(__xludf.DUMMYFUNCTION("""COMPUTED_VALUE"""),"Yes")</f>
        <v>Yes</v>
      </c>
      <c r="G46" s="2">
        <f>IFERROR(__xludf.DUMMYFUNCTION("""COMPUTED_VALUE"""),0.5)</f>
        <v>0.5</v>
      </c>
      <c r="H46" s="2">
        <f>IFERROR(__xludf.DUMMYFUNCTION("""COMPUTED_VALUE"""),1.0)</f>
        <v>1</v>
      </c>
      <c r="I46" s="2">
        <f>IFERROR(__xludf.DUMMYFUNCTION("""COMPUTED_VALUE"""),0.5)</f>
        <v>0.5</v>
      </c>
      <c r="J46" s="2">
        <f>IFERROR(__xludf.DUMMYFUNCTION("""COMPUTED_VALUE"""),1.0)</f>
        <v>1</v>
      </c>
      <c r="K46" s="2" t="str">
        <f>IFERROR(__xludf.DUMMYFUNCTION("""COMPUTED_VALUE"""),"5 – High-quality, Clean Bangla speech")</f>
        <v>5 – High-quality, Clean Bangla speech</v>
      </c>
      <c r="L46" s="2" t="str">
        <f>IFERROR(__xludf.DUMMYFUNCTION("""COMPUTED_VALUE"""),"No")</f>
        <v>No</v>
      </c>
    </row>
    <row r="47">
      <c r="A47" s="2" t="str">
        <f>IFERROR(__xludf.DUMMYFUNCTION("""COMPUTED_VALUE"""),"collect/spontaneous/Dhaka FM/(বি কুল) BC - PROGRAM/6e1248ac-daf3-46f3-b3f5-691571f58eae.flac")</f>
        <v>collect/spontaneous/Dhaka FM/(বি কুল) BC - PROGRAM/6e1248ac-daf3-46f3-b3f5-691571f58eae.flac</v>
      </c>
      <c r="B47" s="2">
        <f>IFERROR(__xludf.DUMMYFUNCTION("""COMPUTED_VALUE"""),30.0)</f>
        <v>30</v>
      </c>
      <c r="C47" s="2" t="str">
        <f>IFERROR(__xludf.DUMMYFUNCTION("""COMPUTED_VALUE"""),"বা কিন্তু খুব পরিষ্কার চতুর্দিকে গাছটা স লাগানো খুব ফ্রেশ একটা জিনিস কটা ভোর বেলা ধরন ভোর পাঁচটা আযানের কিছুক্ষণ পর থামায়ঁশ করে একটা শব্দ আমরা শুনতে পেলাম তাপর আমরা ঘর থেকে সব ঘুমটু ভেঙে শব্দ র এখানে গেলাম গিয়ে দেখলাম যে একটা ট্রাক পড়ে আছে এই পুকুরের মধ্য"&amp;"ে ঁট্রাক পড়ে আছে পরও কারবারটা দেখা গেল কি যে এই ট্রাকটা ছিল চিনি ট্রাক মানে চিনি বোঝাই বস্তা নিয়ে একটা ট্রাক পুকুরে পড়ে গেছে আপনি অবস্থা দেখেন তা তখন লোক")</f>
        <v>বা কিন্তু খুব পরিষ্কার চতুর্দিকে গাছটা স লাগানো খুব ফ্রেশ একটা জিনিস কটা ভোর বেলা ধরন ভোর পাঁচটা আযানের কিছুক্ষণ পর থামায়ঁশ করে একটা শব্দ আমরা শুনতে পেলাম তাপর আমরা ঘর থেকে সব ঘুমটু ভেঙে শব্দ র এখানে গেলাম গিয়ে দেখলাম যে একটা ট্রাক পড়ে আছে এই পুকুরের মধ্যে ঁট্রাক পড়ে আছে পরও কারবারটা দেখা গেল কি যে এই ট্রাকটা ছিল চিনি ট্রাক মানে চিনি বোঝাই বস্তা নিয়ে একটা ট্রাক পুকুরে পড়ে গেছে আপনি অবস্থা দেখেন তা তখন লোক</v>
      </c>
      <c r="D47" s="2" t="str">
        <f>IFERROR(__xludf.DUMMYFUNCTION("""COMPUTED_VALUE"""),"Yes")</f>
        <v>Yes</v>
      </c>
      <c r="E47" s="2" t="str">
        <f>IFERROR(__xludf.DUMMYFUNCTION("""COMPUTED_VALUE"""),"Yes")</f>
        <v>Yes</v>
      </c>
      <c r="F47" s="2" t="str">
        <f>IFERROR(__xludf.DUMMYFUNCTION("""COMPUTED_VALUE"""),"Yes")</f>
        <v>Yes</v>
      </c>
      <c r="G47" s="2">
        <f>IFERROR(__xludf.DUMMYFUNCTION("""COMPUTED_VALUE"""),0.5)</f>
        <v>0.5</v>
      </c>
      <c r="H47" s="2">
        <f>IFERROR(__xludf.DUMMYFUNCTION("""COMPUTED_VALUE"""),1.0)</f>
        <v>1</v>
      </c>
      <c r="I47" s="2">
        <f>IFERROR(__xludf.DUMMYFUNCTION("""COMPUTED_VALUE"""),1.0)</f>
        <v>1</v>
      </c>
      <c r="J47" s="2">
        <f>IFERROR(__xludf.DUMMYFUNCTION("""COMPUTED_VALUE"""),1.0)</f>
        <v>1</v>
      </c>
      <c r="K47" s="2" t="str">
        <f>IFERROR(__xludf.DUMMYFUNCTION("""COMPUTED_VALUE"""),"5 – High-quality, Clean Bangla speech")</f>
        <v>5 – High-quality, Clean Bangla speech</v>
      </c>
      <c r="L47" s="2" t="str">
        <f>IFERROR(__xludf.DUMMYFUNCTION("""COMPUTED_VALUE"""),"No")</f>
        <v>No</v>
      </c>
    </row>
    <row r="48">
      <c r="A48" s="2" t="str">
        <f>IFERROR(__xludf.DUMMYFUNCTION("""COMPUTED_VALUE"""),"collect/spontaneous/Dhaka FM/(বি কুল) BC - PROGRAM/736a2062-4303-4e04-bdce-cbc4d0b4a09f.flac")</f>
        <v>collect/spontaneous/Dhaka FM/(বি কুল) BC - PROGRAM/736a2062-4303-4e04-bdce-cbc4d0b4a09f.flac</v>
      </c>
      <c r="B48" s="2">
        <f>IFERROR(__xludf.DUMMYFUNCTION("""COMPUTED_VALUE"""),30.0)</f>
        <v>30</v>
      </c>
      <c r="C48" s="2" t="str">
        <f>IFERROR(__xludf.DUMMYFUNCTION("""COMPUTED_VALUE"""),"তখন বন্ধু বলল যে এনে তু এই বইটানে এ বইটাও কিন্তু পুরা রহস্যে পরিপূর্ণ বইটা খুব চোষ এবং এত অ্যাডভেঞ্চার এবং এত রহস্যময় বইটা কতু বইয়ের কোনো পৃষ্ঠা পরে যতক্ষণ পড়তে থাকবে তি বুঝতেই পারবি না নায়কের বাবাকে কে মানল একদম শেষ পৃষ্ঠায় এসে বুঝতে পারবি নায়কের বাবাকে "&amp;"বাগানের মালি মেনেছিল ইছিল যোগটা হাসি পায়নে নাঝোখ একটা ছিল আরকি ওকে এবার বিকোিত মুকুলে আপনাদের সাথে একটা ে")</f>
        <v>তখন বন্ধু বলল যে এনে তু এই বইটানে এ বইটাও কিন্তু পুরা রহস্যে পরিপূর্ণ বইটা খুব চোষ এবং এত অ্যাডভেঞ্চার এবং এত রহস্যময় বইটা কতু বইয়ের কোনো পৃষ্ঠা পরে যতক্ষণ পড়তে থাকবে তি বুঝতেই পারবি না নায়কের বাবাকে কে মানল একদম শেষ পৃষ্ঠায় এসে বুঝতে পারবি নায়কের বাবাকে বাগানের মালি মেনেছিল ইছিল যোগটা হাসি পায়নে নাঝোখ একটা ছিল আরকি ওকে এবার বিকোিত মুকুলে আপনাদের সাথে একটা ে</v>
      </c>
      <c r="D48" s="2" t="str">
        <f>IFERROR(__xludf.DUMMYFUNCTION("""COMPUTED_VALUE"""),"Yes")</f>
        <v>Yes</v>
      </c>
      <c r="E48" s="2" t="str">
        <f>IFERROR(__xludf.DUMMYFUNCTION("""COMPUTED_VALUE"""),"Yes")</f>
        <v>Yes</v>
      </c>
      <c r="F48" s="2" t="str">
        <f>IFERROR(__xludf.DUMMYFUNCTION("""COMPUTED_VALUE"""),"Yes")</f>
        <v>Yes</v>
      </c>
      <c r="G48" s="2">
        <f>IFERROR(__xludf.DUMMYFUNCTION("""COMPUTED_VALUE"""),0.0)</f>
        <v>0</v>
      </c>
      <c r="H48" s="2">
        <f>IFERROR(__xludf.DUMMYFUNCTION("""COMPUTED_VALUE"""),0.5)</f>
        <v>0.5</v>
      </c>
      <c r="I48" s="2">
        <f>IFERROR(__xludf.DUMMYFUNCTION("""COMPUTED_VALUE"""),0.0)</f>
        <v>0</v>
      </c>
      <c r="J48" s="2">
        <f>IFERROR(__xludf.DUMMYFUNCTION("""COMPUTED_VALUE"""),0.5)</f>
        <v>0.5</v>
      </c>
      <c r="K48" s="2" t="str">
        <f>IFERROR(__xludf.DUMMYFUNCTION("""COMPUTED_VALUE"""),"5 – High-quality, Clean Bangla speech")</f>
        <v>5 – High-quality, Clean Bangla speech</v>
      </c>
      <c r="L48" s="2" t="str">
        <f>IFERROR(__xludf.DUMMYFUNCTION("""COMPUTED_VALUE"""),"No")</f>
        <v>No</v>
      </c>
    </row>
    <row r="49">
      <c r="A49" s="2" t="str">
        <f>IFERROR(__xludf.DUMMYFUNCTION("""COMPUTED_VALUE"""),"collect/spontaneous/Dhaka FM/(বি কুল) BC - PROGRAM/753568e2-aabf-478a-aef4-2ba1a7c32aac.flac")</f>
        <v>collect/spontaneous/Dhaka FM/(বি কুল) BC - PROGRAM/753568e2-aabf-478a-aef4-2ba1a7c32aac.flac</v>
      </c>
      <c r="B49" s="2">
        <f>IFERROR(__xludf.DUMMYFUNCTION("""COMPUTED_VALUE"""),30.0)</f>
        <v>30</v>
      </c>
      <c r="C49" s="2" t="str">
        <f>IFERROR(__xludf.DUMMYFUNCTION("""COMPUTED_VALUE"""),"চি কান আমাকে স্যার ক্ষেপে গেলাম গলাম স্যার নকল তো নাই আপনি কী বলছেন আম কি নকল করি নাকি তখন স্যার একটু লজ্জা পেয়ে গেল আমার পকেট টকের হাত দিয়ে চলে গেল তারপরে আমি যতই পৃষ্টার টিস্টা উল্টাই সার আর আছে না একটা স্ার একটা শিক্ষা হয়ে গেছে যে তিন চোরবার ছেলেটার গা"&amp;"য়ের মধ্যে হাত দিলাম কিন্তু কোনো নখল টকল পেলাম না ওকে এই ছিল একটা নকলের গল্প এবার দ্বিতীয় আরএকটা গল্প বলি স্যারের আমি একটা প্রিয়ডে আমার সেইচ চারটা মারা গেছে আমি শ্রদ্ধা পড়ে তাকে স্মরণ করছি আল্লাহ তাকে জান্নাতবাসী করু তা সেইসার সবসময় বেতনি")</f>
        <v>চি কান আমাকে স্যার ক্ষেপে গেলাম গলাম স্যার নকল তো নাই আপনি কী বলছেন আম কি নকল করি নাকি তখন স্যার একটু লজ্জা পেয়ে গেল আমার পকেট টকের হাত দিয়ে চলে গেল তারপরে আমি যতই পৃষ্টার টিস্টা উল্টাই সার আর আছে না একটা স্ার একটা শিক্ষা হয়ে গেছে যে তিন চোরবার ছেলেটার গায়ের মধ্যে হাত দিলাম কিন্তু কোনো নখল টকল পেলাম না ওকে এই ছিল একটা নকলের গল্প এবার দ্বিতীয় আরএকটা গল্প বলি স্যারের আমি একটা প্রিয়ডে আমার সেইচ চারটা মারা গেছে আমি শ্রদ্ধা পড়ে তাকে স্মরণ করছি আল্লাহ তাকে জান্নাতবাসী করু তা সেইসার সবসময় বেতনি</v>
      </c>
      <c r="D49" s="2" t="str">
        <f>IFERROR(__xludf.DUMMYFUNCTION("""COMPUTED_VALUE"""),"Yes")</f>
        <v>Yes</v>
      </c>
      <c r="E49" s="2" t="str">
        <f>IFERROR(__xludf.DUMMYFUNCTION("""COMPUTED_VALUE"""),"No")</f>
        <v>No</v>
      </c>
      <c r="F49" s="2" t="str">
        <f>IFERROR(__xludf.DUMMYFUNCTION("""COMPUTED_VALUE"""),"Yes")</f>
        <v>Yes</v>
      </c>
      <c r="G49" s="2">
        <f>IFERROR(__xludf.DUMMYFUNCTION("""COMPUTED_VALUE"""),0.5)</f>
        <v>0.5</v>
      </c>
      <c r="H49" s="2">
        <f>IFERROR(__xludf.DUMMYFUNCTION("""COMPUTED_VALUE"""),1.0)</f>
        <v>1</v>
      </c>
      <c r="I49" s="2">
        <f>IFERROR(__xludf.DUMMYFUNCTION("""COMPUTED_VALUE"""),1.0)</f>
        <v>1</v>
      </c>
      <c r="J49" s="2">
        <f>IFERROR(__xludf.DUMMYFUNCTION("""COMPUTED_VALUE"""),1.0)</f>
        <v>1</v>
      </c>
      <c r="K49" s="2" t="str">
        <f>IFERROR(__xludf.DUMMYFUNCTION("""COMPUTED_VALUE"""),"5 – High-quality, Clean Bangla speech")</f>
        <v>5 – High-quality, Clean Bangla speech</v>
      </c>
      <c r="L49" s="2" t="str">
        <f>IFERROR(__xludf.DUMMYFUNCTION("""COMPUTED_VALUE"""),"No")</f>
        <v>No</v>
      </c>
    </row>
    <row r="50">
      <c r="A50" s="2" t="str">
        <f>IFERROR(__xludf.DUMMYFUNCTION("""COMPUTED_VALUE"""),"collect/spontaneous/Dhaka FM/(বি কুল) BC - PROGRAM/75e6d490-bf2b-4ff3-b3c3-1f9eab611ac8.flac")</f>
        <v>collect/spontaneous/Dhaka FM/(বি কুল) BC - PROGRAM/75e6d490-bf2b-4ff3-b3c3-1f9eab611ac8.flac</v>
      </c>
      <c r="B50" s="2">
        <f>IFERROR(__xludf.DUMMYFUNCTION("""COMPUTED_VALUE"""),30.0)</f>
        <v>30</v>
      </c>
      <c r="C50" s="2" t="str">
        <f>IFERROR(__xludf.DUMMYFUNCTION("""COMPUTED_VALUE"""),"কখন আমি দেখলাম যে দুই পা ফাঁক করে তারপর এক পায়ের উপর আরেকটা দিয়ে বিস্তারিত আকি এটা আবারও বলতে গেলে আপনার পাট কা যাবে আপনি কিন্তু লোকতে হরবেন না আপনা একজন স্টিন্মেন্ট হয়ে যাবেন দাওবা খেলা স্টিনমে্ট আর না তা আপনি এই রকম বীর ভদ্রাসন্ তা আমি যেটা মনে করলাম যে"&amp;" বীর ভদ্রাশন আসলে তাকেই বলে যে আপনার উপরস্ত বসের মতো বীরের মতো ভাব নিয়ে যখন আপনি চেয়ারে দুটি কাঁদ বরাবর উঁচু করে একটু সীনা টান টাম করে হ্যাঁ ভদ্রভাবে বসেছে")</f>
        <v>কখন আমি দেখলাম যে দুই পা ফাঁক করে তারপর এক পায়ের উপর আরেকটা দিয়ে বিস্তারিত আকি এটা আবারও বলতে গেলে আপনার পাট কা যাবে আপনি কিন্তু লোকতে হরবেন না আপনা একজন স্টিন্মেন্ট হয়ে যাবেন দাওবা খেলা স্টিনমে্ট আর না তা আপনি এই রকম বীর ভদ্রাসন্ তা আমি যেটা মনে করলাম যে বীর ভদ্রাশন আসলে তাকেই বলে যে আপনার উপরস্ত বসের মতো বীরের মতো ভাব নিয়ে যখন আপনি চেয়ারে দুটি কাঁদ বরাবর উঁচু করে একটু সীনা টান টাম করে হ্যাঁ ভদ্রভাবে বসেছে</v>
      </c>
      <c r="D50" s="2" t="str">
        <f>IFERROR(__xludf.DUMMYFUNCTION("""COMPUTED_VALUE"""),"Yes")</f>
        <v>Yes</v>
      </c>
      <c r="E50" s="2" t="str">
        <f>IFERROR(__xludf.DUMMYFUNCTION("""COMPUTED_VALUE"""),"Yes")</f>
        <v>Yes</v>
      </c>
      <c r="F50" s="2" t="str">
        <f>IFERROR(__xludf.DUMMYFUNCTION("""COMPUTED_VALUE"""),"No")</f>
        <v>No</v>
      </c>
      <c r="G50" s="2">
        <f>IFERROR(__xludf.DUMMYFUNCTION("""COMPUTED_VALUE"""),0.5)</f>
        <v>0.5</v>
      </c>
      <c r="H50" s="2">
        <f>IFERROR(__xludf.DUMMYFUNCTION("""COMPUTED_VALUE"""),1.0)</f>
        <v>1</v>
      </c>
      <c r="I50" s="2">
        <f>IFERROR(__xludf.DUMMYFUNCTION("""COMPUTED_VALUE"""),1.0)</f>
        <v>1</v>
      </c>
      <c r="J50" s="2">
        <f>IFERROR(__xludf.DUMMYFUNCTION("""COMPUTED_VALUE"""),1.0)</f>
        <v>1</v>
      </c>
      <c r="K50" s="2" t="str">
        <f>IFERROR(__xludf.DUMMYFUNCTION("""COMPUTED_VALUE"""),"5 – High-quality, Clean Bangla speech")</f>
        <v>5 – High-quality, Clean Bangla speech</v>
      </c>
      <c r="L50" s="2" t="str">
        <f>IFERROR(__xludf.DUMMYFUNCTION("""COMPUTED_VALUE"""),"No")</f>
        <v>No</v>
      </c>
    </row>
    <row r="51">
      <c r="A51" s="2" t="str">
        <f>IFERROR(__xludf.DUMMYFUNCTION("""COMPUTED_VALUE"""),"collect/spontaneous/Dhaka FM/(বি কুল) BC - PROGRAM/76bdd270-d50e-4f08-a8ea-a2671631c42a.flac")</f>
        <v>collect/spontaneous/Dhaka FM/(বি কুল) BC - PROGRAM/76bdd270-d50e-4f08-a8ea-a2671631c42a.flac</v>
      </c>
      <c r="B51" s="2">
        <f>IFERROR(__xludf.DUMMYFUNCTION("""COMPUTED_VALUE"""),30.0)</f>
        <v>30</v>
      </c>
      <c r="C51" s="2" t="str">
        <f>IFERROR(__xludf.DUMMYFUNCTION("""COMPUTED_VALUE"""),"আসেন ভাই তারপর আমি তাকে সুন্দর করে রাততে বেলা উত্তর দিলাম যে বিয়ে ভালো আছি ওকে তেরকম সংক্ষিপ্ত লেখতে লেখতে মাঝে হয়ঝে বুঝতে বছতে একটু টাইম লাগে তাপর এখন ধরেন এইচবিডি অ্যাপিভারডে হয়ে গেছে এইচবিডি তারপর টেক কেয়ারে টাগও ছিল ট্রান্সফারস সার্টিফিকেট কিংবা ঠেক ক"&amp;"েয়ার এটা এখন টিসি হয়ে গেছে নর্মালি আমরা টিসি বলি আরেকটা জিনিস হচ্ছে বিটিডব্লিউ বাইদাওয়ে ও বাইদাওয়ে এখন আমি একটু আসলে অন্য ট্রপিক চেঞ্জ")</f>
        <v>আসেন ভাই তারপর আমি তাকে সুন্দর করে রাততে বেলা উত্তর দিলাম যে বিয়ে ভালো আছি ওকে তেরকম সংক্ষিপ্ত লেখতে লেখতে মাঝে হয়ঝে বুঝতে বছতে একটু টাইম লাগে তাপর এখন ধরেন এইচবিডি অ্যাপিভারডে হয়ে গেছে এইচবিডি তারপর টেক কেয়ারে টাগও ছিল ট্রান্সফারস সার্টিফিকেট কিংবা ঠেক কেয়ার এটা এখন টিসি হয়ে গেছে নর্মালি আমরা টিসি বলি আরেকটা জিনিস হচ্ছে বিটিডব্লিউ বাইদাওয়ে ও বাইদাওয়ে এখন আমি একটু আসলে অন্য ট্রপিক চেঞ্জ</v>
      </c>
      <c r="D51" s="2" t="str">
        <f>IFERROR(__xludf.DUMMYFUNCTION("""COMPUTED_VALUE"""),"Yes")</f>
        <v>Yes</v>
      </c>
      <c r="E51" s="2" t="str">
        <f>IFERROR(__xludf.DUMMYFUNCTION("""COMPUTED_VALUE"""),"No")</f>
        <v>No</v>
      </c>
      <c r="F51" s="2" t="str">
        <f>IFERROR(__xludf.DUMMYFUNCTION("""COMPUTED_VALUE"""),"No")</f>
        <v>No</v>
      </c>
      <c r="G51" s="2">
        <f>IFERROR(__xludf.DUMMYFUNCTION("""COMPUTED_VALUE"""),1.0)</f>
        <v>1</v>
      </c>
      <c r="H51" s="2">
        <f>IFERROR(__xludf.DUMMYFUNCTION("""COMPUTED_VALUE"""),1.0)</f>
        <v>1</v>
      </c>
      <c r="I51" s="2">
        <f>IFERROR(__xludf.DUMMYFUNCTION("""COMPUTED_VALUE"""),1.0)</f>
        <v>1</v>
      </c>
      <c r="J51" s="2">
        <f>IFERROR(__xludf.DUMMYFUNCTION("""COMPUTED_VALUE"""),1.0)</f>
        <v>1</v>
      </c>
      <c r="K51" s="2" t="str">
        <f>IFERROR(__xludf.DUMMYFUNCTION("""COMPUTED_VALUE"""),"5 – High-quality, Clean Bangla speech")</f>
        <v>5 – High-quality, Clean Bangla speech</v>
      </c>
      <c r="L51" s="2" t="str">
        <f>IFERROR(__xludf.DUMMYFUNCTION("""COMPUTED_VALUE"""),"Yes")</f>
        <v>Yes</v>
      </c>
    </row>
    <row r="52">
      <c r="A52" s="2" t="str">
        <f>IFERROR(__xludf.DUMMYFUNCTION("""COMPUTED_VALUE"""),"collect/spontaneous/Dhaka FM/(বি কুল) BC - PROGRAM/78263c4a-988a-4d75-99d9-7fb7ab1bc3b7.flac")</f>
        <v>collect/spontaneous/Dhaka FM/(বি কুল) BC - PROGRAM/78263c4a-988a-4d75-99d9-7fb7ab1bc3b7.flac</v>
      </c>
      <c r="B52" s="2">
        <f>IFERROR(__xludf.DUMMYFUNCTION("""COMPUTED_VALUE"""),30.0)</f>
        <v>30</v>
      </c>
      <c r="C52" s="2" t="str">
        <f>IFERROR(__xludf.DUMMYFUNCTION("""COMPUTED_VALUE"""),"সেপ্যান্ রাস্তা পরিষ্কার করবে প্যান ডেখবেন যে জিন্স সেড়া নিচে দলাদুই ঘাটছে চুল াত বড় থাকবে তেরকম একটা গ্রুপ ব্যান্ড অ্যাপি প্র্যাকটিস করে সন্ধ্যা বেলায়দের প্র্যাকটিস এবং রাত পর্যন্ত সলে ড্রান্ টোরাম বাজায় ফাড়া পালায় রফিক শাহেব এলাকার একজন থাকে আরকি ে সেই "&amp;"ব্র্যান্ডের প্র্যাকটিস প্যাডের পাশ দিয়ে তার বাসা সে খুব সমস্যার মধ্যে আছে প্রতি ডাততে বেলার ড্রানটাম বাজায় তারপর সে উই প্র্যাকটিস্প্যানের ঢুকলো ঢুকে একজনকে বলল যে বাবা তোমাদের ড্রাম্পটা দেওয়া যাবে একটু আজকে রাতের জন্য ব্যান্ডের ছেলের একটা জিনিস খেয়াল করবে"&amp;"ন")</f>
        <v>সেপ্যান্ রাস্তা পরিষ্কার করবে প্যান ডেখবেন যে জিন্স সেড়া নিচে দলাদুই ঘাটছে চুল াত বড় থাকবে তেরকম একটা গ্রুপ ব্যান্ড অ্যাপি প্র্যাকটিস করে সন্ধ্যা বেলায়দের প্র্যাকটিস এবং রাত পর্যন্ত সলে ড্রান্ টোরাম বাজায় ফাড়া পালায় রফিক শাহেব এলাকার একজন থাকে আরকি ে সেই ব্র্যান্ডের প্র্যাকটিস প্যাডের পাশ দিয়ে তার বাসা সে খুব সমস্যার মধ্যে আছে প্রতি ডাততে বেলার ড্রানটাম বাজায় তারপর সে উই প্র্যাকটিস্প্যানের ঢুকলো ঢুকে একজনকে বলল যে বাবা তোমাদের ড্রাম্পটা দেওয়া যাবে একটু আজকে রাতের জন্য ব্যান্ডের ছেলের একটা জিনিস খেয়াল করবেন</v>
      </c>
      <c r="D52" s="2" t="str">
        <f>IFERROR(__xludf.DUMMYFUNCTION("""COMPUTED_VALUE"""),"Yes")</f>
        <v>Yes</v>
      </c>
      <c r="E52" s="2" t="str">
        <f>IFERROR(__xludf.DUMMYFUNCTION("""COMPUTED_VALUE"""),"Yes")</f>
        <v>Yes</v>
      </c>
      <c r="F52" s="2" t="str">
        <f>IFERROR(__xludf.DUMMYFUNCTION("""COMPUTED_VALUE"""),"Yes")</f>
        <v>Yes</v>
      </c>
      <c r="G52" s="2">
        <f>IFERROR(__xludf.DUMMYFUNCTION("""COMPUTED_VALUE"""),0.5)</f>
        <v>0.5</v>
      </c>
      <c r="H52" s="2">
        <f>IFERROR(__xludf.DUMMYFUNCTION("""COMPUTED_VALUE"""),1.0)</f>
        <v>1</v>
      </c>
      <c r="I52" s="2">
        <f>IFERROR(__xludf.DUMMYFUNCTION("""COMPUTED_VALUE"""),0.5)</f>
        <v>0.5</v>
      </c>
      <c r="J52" s="2">
        <f>IFERROR(__xludf.DUMMYFUNCTION("""COMPUTED_VALUE"""),1.0)</f>
        <v>1</v>
      </c>
      <c r="K52" s="2" t="str">
        <f>IFERROR(__xludf.DUMMYFUNCTION("""COMPUTED_VALUE"""),"5 – High-quality, Clean Bangla speech")</f>
        <v>5 – High-quality, Clean Bangla speech</v>
      </c>
      <c r="L52" s="2" t="str">
        <f>IFERROR(__xludf.DUMMYFUNCTION("""COMPUTED_VALUE"""),"No")</f>
        <v>No</v>
      </c>
    </row>
    <row r="53">
      <c r="A53" s="2" t="str">
        <f>IFERROR(__xludf.DUMMYFUNCTION("""COMPUTED_VALUE"""),"collect/spontaneous/Dhaka FM/(বি কুল) BC - PROGRAM/7a768d43-4e2f-4175-a083-b5ed0a33d421.flac")</f>
        <v>collect/spontaneous/Dhaka FM/(বি কুল) BC - PROGRAM/7a768d43-4e2f-4175-a083-b5ed0a33d421.flac</v>
      </c>
      <c r="B53" s="2">
        <f>IFERROR(__xludf.DUMMYFUNCTION("""COMPUTED_VALUE"""),30.0)</f>
        <v>30</v>
      </c>
      <c r="C53" s="2" t="str">
        <f>IFERROR(__xludf.DUMMYFUNCTION("""COMPUTED_VALUE"""),"বেশি করে দিয়ে দেয় তারপর একটু পরপর এসে আমাকে কুরকুডে হাড্রি দেয় তাপর আমাকে চর্বি দায় এর মাঝখানটিকে যতটু খেতে খেতে পেরেছি ততটু খেয়ে আমার সেই যে আমাকে আপ্যায়ন করেছিল তাকে খোদা ফেস দিয়ে আমি চলে আসলাম টা আজকে এই ছিল বিকুল উইক মুকুল আর কথা বাড়াবো না তবে যাবার আ"&amp;"গে একটা যোক ত সবসময় বলি এক ভজ্রলো স্বামী সে ডাক্তারের কাছে গেল া ডাক্তারের কাছে গিয়ে তার বিভিন্ন প্রবলেমের কথা বলল তা ডাক্তার দেখলো যে রোগটা আসলে খুব এতো সিরিয়া")</f>
        <v>বেশি করে দিয়ে দেয় তারপর একটু পরপর এসে আমাকে কুরকুডে হাড্রি দেয় তাপর আমাকে চর্বি দায় এর মাঝখানটিকে যতটু খেতে খেতে পেরেছি ততটু খেয়ে আমার সেই যে আমাকে আপ্যায়ন করেছিল তাকে খোদা ফেস দিয়ে আমি চলে আসলাম টা আজকে এই ছিল বিকুল উইক মুকুল আর কথা বাড়াবো না তবে যাবার আগে একটা যোক ত সবসময় বলি এক ভজ্রলো স্বামী সে ডাক্তারের কাছে গেল া ডাক্তারের কাছে গিয়ে তার বিভিন্ন প্রবলেমের কথা বলল তা ডাক্তার দেখলো যে রোগটা আসলে খুব এতো সিরিয়া</v>
      </c>
      <c r="D53" s="2" t="str">
        <f>IFERROR(__xludf.DUMMYFUNCTION("""COMPUTED_VALUE"""),"Yes")</f>
        <v>Yes</v>
      </c>
      <c r="E53" s="2" t="str">
        <f>IFERROR(__xludf.DUMMYFUNCTION("""COMPUTED_VALUE"""),"No")</f>
        <v>No</v>
      </c>
      <c r="F53" s="2" t="str">
        <f>IFERROR(__xludf.DUMMYFUNCTION("""COMPUTED_VALUE"""),"Yes")</f>
        <v>Yes</v>
      </c>
      <c r="G53" s="2">
        <f>IFERROR(__xludf.DUMMYFUNCTION("""COMPUTED_VALUE"""),0.5)</f>
        <v>0.5</v>
      </c>
      <c r="H53" s="2">
        <f>IFERROR(__xludf.DUMMYFUNCTION("""COMPUTED_VALUE"""),0.5)</f>
        <v>0.5</v>
      </c>
      <c r="I53" s="2">
        <f>IFERROR(__xludf.DUMMYFUNCTION("""COMPUTED_VALUE"""),1.0)</f>
        <v>1</v>
      </c>
      <c r="J53" s="2">
        <f>IFERROR(__xludf.DUMMYFUNCTION("""COMPUTED_VALUE"""),1.0)</f>
        <v>1</v>
      </c>
      <c r="K53" s="2" t="str">
        <f>IFERROR(__xludf.DUMMYFUNCTION("""COMPUTED_VALUE"""),"5 – High-quality, Clean Bangla speech")</f>
        <v>5 – High-quality, Clean Bangla speech</v>
      </c>
      <c r="L53" s="2" t="str">
        <f>IFERROR(__xludf.DUMMYFUNCTION("""COMPUTED_VALUE"""),"No")</f>
        <v>No</v>
      </c>
    </row>
    <row r="54">
      <c r="A54" s="2" t="str">
        <f>IFERROR(__xludf.DUMMYFUNCTION("""COMPUTED_VALUE"""),"collect/spontaneous/Dhaka FM/(বি কুল) BC - PROGRAM/7aae06f9-eed1-499d-a87f-6a4a8cc5b950.flac")</f>
        <v>collect/spontaneous/Dhaka FM/(বি কুল) BC - PROGRAM/7aae06f9-eed1-499d-a87f-6a4a8cc5b950.flac</v>
      </c>
      <c r="B54" s="2">
        <f>IFERROR(__xludf.DUMMYFUNCTION("""COMPUTED_VALUE"""),30.0)</f>
        <v>30</v>
      </c>
      <c r="C54" s="2" t="str">
        <f>IFERROR(__xludf.DUMMYFUNCTION("""COMPUTED_VALUE"""),"কে কোনো জায়গায় নিয়ে একটু গোসল করে একটু ঘুমপাড়ায় দান আমার শোরীলটা খুব খাাপ লাগছে মানে আমি তাকে বিশ্বাস করল আমাকে তা বলার পর সে আমাকে বলল যে তহলে আপনি আমার সাথে থাকতে পারেন তাহলে হোটেলের ভাড়া অর্ধেক অর্তেক শেয়ার করব মনে আপনি অর্ধেক ডিপেন আমি অর্ধেক দিব কিন্"&amp;"তু আমি মার্কুইসল্াইনডে থাকব না আমি ঢাকায় চাকরি গলি ছোট একটা আর টুকটা ব্যবসা করি ইন্ডিয়াত থেকে কিছু জিনিস নিয়ে ভিক্রি করি া আমি বড় বাজারে থাকব বড় বাজার হচ্ছে ওদের চকবাজারের মতো একটা জায়গা তে এখানে এসে চলে যাবে আকি এটা জাকারিয়া স্চিট না কি যেন")</f>
        <v>কে কোনো জায়গায় নিয়ে একটু গোসল করে একটু ঘুমপাড়ায় দান আমার শোরীলটা খুব খাাপ লাগছে মানে আমি তাকে বিশ্বাস করল আমাকে তা বলার পর সে আমাকে বলল যে তহলে আপনি আমার সাথে থাকতে পারেন তাহলে হোটেলের ভাড়া অর্ধেক অর্তেক শেয়ার করব মনে আপনি অর্ধেক ডিপেন আমি অর্ধেক দিব কিন্তু আমি মার্কুইসল্াইনডে থাকব না আমি ঢাকায় চাকরি গলি ছোট একটা আর টুকটা ব্যবসা করি ইন্ডিয়াত থেকে কিছু জিনিস নিয়ে ভিক্রি করি া আমি বড় বাজারে থাকব বড় বাজার হচ্ছে ওদের চকবাজারের মতো একটা জায়গা তে এখানে এসে চলে যাবে আকি এটা জাকারিয়া স্চিট না কি যেন</v>
      </c>
      <c r="D54" s="2" t="str">
        <f>IFERROR(__xludf.DUMMYFUNCTION("""COMPUTED_VALUE"""),"Yes")</f>
        <v>Yes</v>
      </c>
      <c r="E54" s="2" t="str">
        <f>IFERROR(__xludf.DUMMYFUNCTION("""COMPUTED_VALUE"""),"Yes")</f>
        <v>Yes</v>
      </c>
      <c r="F54" s="2" t="str">
        <f>IFERROR(__xludf.DUMMYFUNCTION("""COMPUTED_VALUE"""),"Yes")</f>
        <v>Yes</v>
      </c>
      <c r="G54" s="2">
        <f>IFERROR(__xludf.DUMMYFUNCTION("""COMPUTED_VALUE"""),0.5)</f>
        <v>0.5</v>
      </c>
      <c r="H54" s="2">
        <f>IFERROR(__xludf.DUMMYFUNCTION("""COMPUTED_VALUE"""),0.5)</f>
        <v>0.5</v>
      </c>
      <c r="I54" s="2">
        <f>IFERROR(__xludf.DUMMYFUNCTION("""COMPUTED_VALUE"""),1.0)</f>
        <v>1</v>
      </c>
      <c r="J54" s="2">
        <f>IFERROR(__xludf.DUMMYFUNCTION("""COMPUTED_VALUE"""),1.0)</f>
        <v>1</v>
      </c>
      <c r="K54" s="2" t="str">
        <f>IFERROR(__xludf.DUMMYFUNCTION("""COMPUTED_VALUE"""),"5 – High-quality, Clean Bangla speech")</f>
        <v>5 – High-quality, Clean Bangla speech</v>
      </c>
      <c r="L54" s="2" t="str">
        <f>IFERROR(__xludf.DUMMYFUNCTION("""COMPUTED_VALUE"""),"No")</f>
        <v>No</v>
      </c>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row r="1000">
      <c r="A1000" s="2"/>
      <c r="B1000" s="2"/>
      <c r="C1000" s="2"/>
      <c r="D1000" s="2"/>
      <c r="E1000" s="2"/>
      <c r="F1000" s="2"/>
      <c r="G1000" s="2"/>
      <c r="H1000" s="2"/>
      <c r="I1000" s="2"/>
      <c r="J1000" s="2"/>
      <c r="K1000" s="2"/>
      <c r="L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2" t="str">
        <f>IFERROR(__xludf.DUMMYFUNCTION("IMPORTRANGE(""https://docs.google.com/spreadsheets/d/1LWrkYRWqqjhjgxdMwjQ1Qm_gmcuQKclfv_z_HOhGK4I/edit?gid=1682353242#gid=1682353242"", ""Data!A:L"")"),"Filename")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IFERROR(__xludf.DUMMYFUNCTION("""COMPUTED_VALUE"""),"collect/miscellaneous/Dhaka FM/DFM - AUDIO CLIP (03-01-2023)/0006b05f-07e1-4af3-b1e0-85cf81ebeb2e.flac")</f>
        <v>collect/miscellaneous/Dhaka FM/DFM - AUDIO CLIP (03-01-2023)/0006b05f-07e1-4af3-b1e0-85cf81ebeb2e.flac</v>
      </c>
      <c r="B2" s="2">
        <f>IFERROR(__xludf.DUMMYFUNCTION("""COMPUTED_VALUE"""),5.249)</f>
        <v>5.249</v>
      </c>
      <c r="C2" s="2" t="str">
        <f>IFERROR(__xludf.DUMMYFUNCTION("""COMPUTED_VALUE"""),"প্লান্সওকে আউকে নাও লেসগ্লো ফরেদি সাং")</f>
        <v>প্লান্সওকে আউকে নাও লেসগ্লো ফরেদি সাং</v>
      </c>
      <c r="D2" s="2" t="str">
        <f>IFERROR(__xludf.DUMMYFUNCTION("""COMPUTED_VALUE"""),"No")</f>
        <v>No</v>
      </c>
      <c r="E2" s="2" t="str">
        <f>IFERROR(__xludf.DUMMYFUNCTION("""COMPUTED_VALUE"""),"Yes")</f>
        <v>Yes</v>
      </c>
      <c r="F2" s="2" t="str">
        <f>IFERROR(__xludf.DUMMYFUNCTION("""COMPUTED_VALUE"""),"Yes")</f>
        <v>Yes</v>
      </c>
      <c r="G2" s="2">
        <f>IFERROR(__xludf.DUMMYFUNCTION("""COMPUTED_VALUE"""),0.0)</f>
        <v>0</v>
      </c>
      <c r="H2" s="2">
        <f>IFERROR(__xludf.DUMMYFUNCTION("""COMPUTED_VALUE"""),0.0)</f>
        <v>0</v>
      </c>
      <c r="I2" s="2">
        <f>IFERROR(__xludf.DUMMYFUNCTION("""COMPUTED_VALUE"""),0.0)</f>
        <v>0</v>
      </c>
      <c r="J2" s="2">
        <f>IFERROR(__xludf.DUMMYFUNCTION("""COMPUTED_VALUE"""),0.0)</f>
        <v>0</v>
      </c>
      <c r="K2" s="2" t="str">
        <f>IFERROR(__xludf.DUMMYFUNCTION("""COMPUTED_VALUE"""),"1 - Unusable Severely degraded, or non-Bangla")</f>
        <v>1 - Unusable Severely degraded, or non-Bangla</v>
      </c>
      <c r="L2" s="2" t="str">
        <f>IFERROR(__xludf.DUMMYFUNCTION("""COMPUTED_VALUE"""),"Yes")</f>
        <v>Yes</v>
      </c>
    </row>
    <row r="3">
      <c r="A3" s="2" t="str">
        <f>IFERROR(__xludf.DUMMYFUNCTION("""COMPUTED_VALUE"""),"collect/miscellaneous/Dhaka FM/DFM - AUDIO CLIP (03-01-2023)/003218c4-b6be-4ee8-b335-26acfc8ebb81.flac")</f>
        <v>collect/miscellaneous/Dhaka FM/DFM - AUDIO CLIP (03-01-2023)/003218c4-b6be-4ee8-b335-26acfc8ebb81.flac</v>
      </c>
      <c r="B3" s="2">
        <f>IFERROR(__xludf.DUMMYFUNCTION("""COMPUTED_VALUE"""),30.0)</f>
        <v>30</v>
      </c>
      <c r="C3" s="2" t="str">
        <f>IFERROR(__xludf.DUMMYFUNCTION("""COMPUTED_VALUE"""),"শুনছেন ঢাকা এফএম নাইনটি পয়েন্ট ফোর ডিলিসনার্স আম্বার আইটি মানেই সুপার স্পিড অপটিক্যাল ফাইবার রডব্যান্ড ইন্টারনেট কানেকশন আর সেটা যদি হয় আপনার বাসায় তাহলে তোয়র কোনো কথাই নেই এখন আমবার আইটির হুম ইন্টারনে্ট প্যাকেজে পাচ্ছেন দারুণ সব অফ ফাইর্স ত্রিশ এমবিপিএস "&amp;"অথবা ত্রিশ এমবিপিএসের বেশি কানেকশনে পাচ্ছেন আইপি টেলিফোনে কথা বলার সুযোগ প্চুর এসএমএস আইপিটিভি এবং রিয়েল আইপিকামেকশন গেইমিয়এর জন্য রয়েছে লোল অ্যাচেন্সি তাহলে ডেরিকেশ নিয়েনে")</f>
        <v>শুনছেন ঢাকা এফএম নাইনটি পয়েন্ট ফোর ডিলিসনার্স আম্বার আইটি মানেই সুপার স্পিড অপটিক্যাল ফাইবার রডব্যান্ড ইন্টারনেট কানেকশন আর সেটা যদি হয় আপনার বাসায় তাহলে তোয়র কোনো কথাই নেই এখন আমবার আইটির হুম ইন্টারনে্ট প্যাকেজে পাচ্ছেন দারুণ সব অফ ফাইর্স ত্রিশ এমবিপিএস অথবা ত্রিশ এমবিপিএসের বেশি কানেকশনে পাচ্ছেন আইপি টেলিফোনে কথা বলার সুযোগ প্চুর এসএমএস আইপিটিভি এবং রিয়েল আইপিকামেকশন গেইমিয়এর জন্য রয়েছে লোল অ্যাচেন্সি তাহলে ডেরিকেশ নিয়েনে</v>
      </c>
      <c r="D3" s="2" t="str">
        <f>IFERROR(__xludf.DUMMYFUNCTION("""COMPUTED_VALUE"""),"No")</f>
        <v>No</v>
      </c>
      <c r="E3" s="2" t="str">
        <f>IFERROR(__xludf.DUMMYFUNCTION("""COMPUTED_VALUE"""),"Yes")</f>
        <v>Yes</v>
      </c>
      <c r="F3" s="2" t="str">
        <f>IFERROR(__xludf.DUMMYFUNCTION("""COMPUTED_VALUE"""),"Yes")</f>
        <v>Yes</v>
      </c>
      <c r="G3" s="2">
        <f>IFERROR(__xludf.DUMMYFUNCTION("""COMPUTED_VALUE"""),0.0)</f>
        <v>0</v>
      </c>
      <c r="H3" s="2">
        <f>IFERROR(__xludf.DUMMYFUNCTION("""COMPUTED_VALUE"""),0.0)</f>
        <v>0</v>
      </c>
      <c r="I3" s="2">
        <f>IFERROR(__xludf.DUMMYFUNCTION("""COMPUTED_VALUE"""),0.0)</f>
        <v>0</v>
      </c>
      <c r="J3" s="2">
        <f>IFERROR(__xludf.DUMMYFUNCTION("""COMPUTED_VALUE"""),0.0)</f>
        <v>0</v>
      </c>
      <c r="K3" s="2" t="str">
        <f>IFERROR(__xludf.DUMMYFUNCTION("""COMPUTED_VALUE"""),"4– Usable, minor flaws Minor background noise.")</f>
        <v>4– Usable, minor flaws Minor background noise.</v>
      </c>
      <c r="L3" s="2" t="str">
        <f>IFERROR(__xludf.DUMMYFUNCTION("""COMPUTED_VALUE"""),"Yes")</f>
        <v>Yes</v>
      </c>
    </row>
    <row r="4">
      <c r="A4" s="2" t="str">
        <f>IFERROR(__xludf.DUMMYFUNCTION("""COMPUTED_VALUE"""),"collect/miscellaneous/Dhaka FM/DFM - AUDIO CLIP (03-01-2023)/0082aaa3-5535-4863-8a03-49c56a2cc04b.flac")</f>
        <v>collect/miscellaneous/Dhaka FM/DFM - AUDIO CLIP (03-01-2023)/0082aaa3-5535-4863-8a03-49c56a2cc04b.flac</v>
      </c>
      <c r="B4" s="2">
        <f>IFERROR(__xludf.DUMMYFUNCTION("""COMPUTED_VALUE"""),30.0)</f>
        <v>30</v>
      </c>
      <c r="C4" s="2" t="str">
        <f>IFERROR(__xludf.DUMMYFUNCTION("""COMPUTED_VALUE"""),"লাইফ হ্যা হাকসহালোফ্ররেন্স ওয়ালকাম ব্যাকচ ঢাকা ফ্ামনায়নি পয়েন্ট ফোন এাক নেশন এক স্টেশনে চলছে লাইফ অ্াক স্রীতার সাথে ডিসেসভারি ইজিপিজেতিং এযান্ড ড্যারিজ ওয়াইনুই মেক আওয়ার রটহি নসালাটি ওই মাচালাগুলো ফেলে না দিয়ে জাস্ট একটু পানিতে ধুয়ে রেখে দিন শুকিয়ে ওই মাস"&amp;"ালাগুলো সেদ্ধ মাসেলাগুলো আদা ছাড়া হ্যা আদা ছাড়া বাকিগুলো আপনার যে চিনির কৌটা আছে না চিনির কোর্টারতা রেখে দেন কিংবা")</f>
        <v>লাইফ হ্যা হাকসহালোফ্ররেন্স ওয়ালকাম ব্যাকচ ঢাকা ফ্ামনায়নি পয়েন্ট ফোন এাক নেশন এক স্টেশনে চলছে লাইফ অ্াক স্রীতার সাথে ডিসেসভারি ইজিপিজেতিং এযান্ড ড্যারিজ ওয়াইনুই মেক আওয়ার রটহি নসালাটি ওই মাচালাগুলো ফেলে না দিয়ে জাস্ট একটু পানিতে ধুয়ে রেখে দিন শুকিয়ে ওই মাসালাগুলো সেদ্ধ মাসেলাগুলো আদা ছাড়া হ্যা আদা ছাড়া বাকিগুলো আপনার যে চিনির কৌটা আছে না চিনির কোর্টারতা রেখে দেন কিংবা</v>
      </c>
      <c r="D4" s="2" t="str">
        <f>IFERROR(__xludf.DUMMYFUNCTION("""COMPUTED_VALUE"""),"No")</f>
        <v>No</v>
      </c>
      <c r="E4" s="2" t="str">
        <f>IFERROR(__xludf.DUMMYFUNCTION("""COMPUTED_VALUE"""),"Yes")</f>
        <v>Yes</v>
      </c>
      <c r="F4" s="2" t="str">
        <f>IFERROR(__xludf.DUMMYFUNCTION("""COMPUTED_VALUE"""),"Yes")</f>
        <v>Yes</v>
      </c>
      <c r="G4" s="2">
        <f>IFERROR(__xludf.DUMMYFUNCTION("""COMPUTED_VALUE"""),0.5)</f>
        <v>0.5</v>
      </c>
      <c r="H4" s="2">
        <f>IFERROR(__xludf.DUMMYFUNCTION("""COMPUTED_VALUE"""),0.0)</f>
        <v>0</v>
      </c>
      <c r="I4" s="2">
        <f>IFERROR(__xludf.DUMMYFUNCTION("""COMPUTED_VALUE"""),0.0)</f>
        <v>0</v>
      </c>
      <c r="J4" s="2">
        <f>IFERROR(__xludf.DUMMYFUNCTION("""COMPUTED_VALUE"""),0.0)</f>
        <v>0</v>
      </c>
      <c r="K4" s="2" t="str">
        <f>IFERROR(__xludf.DUMMYFUNCTION("""COMPUTED_VALUE"""),"3 – Mixed language or inconsistent quality")</f>
        <v>3 – Mixed language or inconsistent quality</v>
      </c>
      <c r="L4" s="2" t="str">
        <f>IFERROR(__xludf.DUMMYFUNCTION("""COMPUTED_VALUE"""),"Yes")</f>
        <v>Yes</v>
      </c>
    </row>
    <row r="5">
      <c r="A5" s="2" t="str">
        <f>IFERROR(__xludf.DUMMYFUNCTION("""COMPUTED_VALUE"""),"collect/miscellaneous/Dhaka FM/DFM - AUDIO CLIP (03-01-2023)/00a9409c-0fbf-42e6-b812-57b92653703e.flac")</f>
        <v>collect/miscellaneous/Dhaka FM/DFM - AUDIO CLIP (03-01-2023)/00a9409c-0fbf-42e6-b812-57b92653703e.flac</v>
      </c>
      <c r="B5" s="2">
        <f>IFERROR(__xludf.DUMMYFUNCTION("""COMPUTED_VALUE"""),30.0)</f>
        <v>30</v>
      </c>
      <c r="C5" s="2" t="str">
        <f>IFERROR(__xludf.DUMMYFUNCTION("""COMPUTED_VALUE"""),"ওয়ার অ্যাবার্ডদেড বিউডিফিকে অ্াড দেয়ার বিউডিফিকেশন অব ড্যাম সেলফ সো বোথফর্ডিস ক্যান ট্রায়দিস্থিং ওকে ওকেে অ্যান্ড তারপর দেখতে পাচ্ছি শাহান শহান ওয়াসেফ পড়েছেন গানে রিকেজ করেজেন্ট তনয়েক ওয়াসেভ পড়েছেন কেমন আছে জানতে চেয়েছেন পায়দা ওয়েত নয় ওয়াইডন ডিউগাইজ ডাউন "&amp;"ইউ নেইম ফরেস দ্য নাইকেন রেডেডআউড এাকচিলাইটে আমাকে বেশ কষ্ট ঘরের নামটা বের করতে হচ্ছে সেপ্লিজ রাইড ডাউনিয়র নাইজ এন্ট ফ্রিডি বিরফুল নেইম দেসেভারি ইজিএযাট")</f>
        <v>ওয়ার অ্যাবার্ডদেড বিউডিফিকে অ্াড দেয়ার বিউডিফিকেশন অব ড্যাম সেলফ সো বোথফর্ডিস ক্যান ট্রায়দিস্থিং ওকে ওকেে অ্যান্ড তারপর দেখতে পাচ্ছি শাহান শহান ওয়াসেফ পড়েছেন গানে রিকেজ করেজেন্ট তনয়েক ওয়াসেভ পড়েছেন কেমন আছে জানতে চেয়েছেন পায়দা ওয়েত নয় ওয়াইডন ডিউগাইজ ডাউন ইউ নেইম ফরেস দ্য নাইকেন রেডেডআউড এাকচিলাইটে আমাকে বেশ কষ্ট ঘরের নামটা বের করতে হচ্ছে সেপ্লিজ রাইড ডাউনিয়র নাইজ এন্ট ফ্রিডি বিরফুল নেইম দেসেভারি ইজিএযাট</v>
      </c>
      <c r="D5" s="2" t="str">
        <f>IFERROR(__xludf.DUMMYFUNCTION("""COMPUTED_VALUE"""),"No")</f>
        <v>No</v>
      </c>
      <c r="E5" s="2" t="str">
        <f>IFERROR(__xludf.DUMMYFUNCTION("""COMPUTED_VALUE"""),"Yes")</f>
        <v>Yes</v>
      </c>
      <c r="F5" s="2" t="str">
        <f>IFERROR(__xludf.DUMMYFUNCTION("""COMPUTED_VALUE"""),"Yes")</f>
        <v>Yes</v>
      </c>
      <c r="G5" s="2">
        <f>IFERROR(__xludf.DUMMYFUNCTION("""COMPUTED_VALUE"""),0.0)</f>
        <v>0</v>
      </c>
      <c r="H5" s="2">
        <f>IFERROR(__xludf.DUMMYFUNCTION("""COMPUTED_VALUE"""),0.0)</f>
        <v>0</v>
      </c>
      <c r="I5" s="2">
        <f>IFERROR(__xludf.DUMMYFUNCTION("""COMPUTED_VALUE"""),0.0)</f>
        <v>0</v>
      </c>
      <c r="J5" s="2">
        <f>IFERROR(__xludf.DUMMYFUNCTION("""COMPUTED_VALUE"""),0.0)</f>
        <v>0</v>
      </c>
      <c r="K5" s="2" t="str">
        <f>IFERROR(__xludf.DUMMYFUNCTION("""COMPUTED_VALUE"""),"3 – Mixed language or inconsistent quality")</f>
        <v>3 – Mixed language or inconsistent quality</v>
      </c>
      <c r="L5" s="2" t="str">
        <f>IFERROR(__xludf.DUMMYFUNCTION("""COMPUTED_VALUE"""),"Yes")</f>
        <v>Yes</v>
      </c>
    </row>
    <row r="6">
      <c r="A6" s="2" t="str">
        <f>IFERROR(__xludf.DUMMYFUNCTION("""COMPUTED_VALUE"""),"collect/miscellaneous/Dhaka FM/DFM - AUDIO CLIP (03-01-2023)/00eefae6-21ca-48de-a10a-c8a3c0b82a5b.flac")</f>
        <v>collect/miscellaneous/Dhaka FM/DFM - AUDIO CLIP (03-01-2023)/00eefae6-21ca-48de-a10a-c8a3c0b82a5b.flac</v>
      </c>
      <c r="B6" s="2">
        <f>IFERROR(__xludf.DUMMYFUNCTION("""COMPUTED_VALUE"""),30.0)</f>
        <v>30</v>
      </c>
      <c r="C6" s="2" t="str">
        <f>IFERROR(__xludf.DUMMYFUNCTION("""COMPUTED_VALUE"""),"আজকে আমরা এই আয়োজনটিতে আমাদের সঙ্গে একজন খুবই গুরুত্বপূর্ণ অতিথি এবং আমরা সত্যি আনন্দিতম গর্বিত এই ধরনের আয়োজন করতে পেরে আমাদের সঙ্গে আজকে উপস্থিত থাকবেন স্টসাজিদ অমিথ চিনি আমাদের সঙ্গে রয়েছেন এবং মোহাম্মদ আমরা এই মুহূর্তে তাকে আমাদের এই আয়োজনের যুক্ত করছ"&amp;"ি তিনিই আমাদের সঙ্গে যুক্ত হচ্ছেন আমাদের ফেইসবুক পেয়জে আমাদের সব বন্ধুদেরকে জানায় স্বাগত্ এবং তাকে আমরা একটু ওেলকম করে আসছি স্যার সালামু আলাইকম কেমন আছেন")</f>
        <v>আজকে আমরা এই আয়োজনটিতে আমাদের সঙ্গে একজন খুবই গুরুত্বপূর্ণ অতিথি এবং আমরা সত্যি আনন্দিতম গর্বিত এই ধরনের আয়োজন করতে পেরে আমাদের সঙ্গে আজকে উপস্থিত থাকবেন স্টসাজিদ অমিথ চিনি আমাদের সঙ্গে রয়েছেন এবং মোহাম্মদ আমরা এই মুহূর্তে তাকে আমাদের এই আয়োজনের যুক্ত করছি তিনিই আমাদের সঙ্গে যুক্ত হচ্ছেন আমাদের ফেইসবুক পেয়জে আমাদের সব বন্ধুদেরকে জানায় স্বাগত্ এবং তাকে আমরা একটু ওেলকম করে আসছি স্যার সালামু আলাইকম কেমন আছেন</v>
      </c>
      <c r="D6" s="2" t="str">
        <f>IFERROR(__xludf.DUMMYFUNCTION("""COMPUTED_VALUE"""),"No")</f>
        <v>No</v>
      </c>
      <c r="E6" s="2" t="str">
        <f>IFERROR(__xludf.DUMMYFUNCTION("""COMPUTED_VALUE"""),"Yes")</f>
        <v>Yes</v>
      </c>
      <c r="F6" s="2" t="str">
        <f>IFERROR(__xludf.DUMMYFUNCTION("""COMPUTED_VALUE"""),"Yes")</f>
        <v>Yes</v>
      </c>
      <c r="G6" s="2">
        <f>IFERROR(__xludf.DUMMYFUNCTION("""COMPUTED_VALUE"""),0.5)</f>
        <v>0.5</v>
      </c>
      <c r="H6" s="2">
        <f>IFERROR(__xludf.DUMMYFUNCTION("""COMPUTED_VALUE"""),0.5)</f>
        <v>0.5</v>
      </c>
      <c r="I6" s="2">
        <f>IFERROR(__xludf.DUMMYFUNCTION("""COMPUTED_VALUE"""),0.0)</f>
        <v>0</v>
      </c>
      <c r="J6" s="2">
        <f>IFERROR(__xludf.DUMMYFUNCTION("""COMPUTED_VALUE"""),0.0)</f>
        <v>0</v>
      </c>
      <c r="K6" s="2" t="str">
        <f>IFERROR(__xludf.DUMMYFUNCTION("""COMPUTED_VALUE"""),"4– Usable, minor flaws Minor background noise.")</f>
        <v>4– Usable, minor flaws Minor background noise.</v>
      </c>
      <c r="L6" s="2" t="str">
        <f>IFERROR(__xludf.DUMMYFUNCTION("""COMPUTED_VALUE"""),"No")</f>
        <v>No</v>
      </c>
    </row>
    <row r="7">
      <c r="A7" s="2" t="str">
        <f>IFERROR(__xludf.DUMMYFUNCTION("""COMPUTED_VALUE"""),"collect/miscellaneous/Dhaka FM/DFM - AUDIO CLIP (03-01-2023)/010a7ed3-e1e7-4888-9e11-bcae0b4bcbda.flac")</f>
        <v>collect/miscellaneous/Dhaka FM/DFM - AUDIO CLIP (03-01-2023)/010a7ed3-e1e7-4888-9e11-bcae0b4bcbda.flac</v>
      </c>
      <c r="B7" s="2">
        <f>IFERROR(__xludf.DUMMYFUNCTION("""COMPUTED_VALUE"""),30.0)</f>
        <v>30</v>
      </c>
      <c r="C7" s="2" t="str">
        <f>IFERROR(__xludf.DUMMYFUNCTION("""COMPUTED_VALUE"""),"সরকারিভাবে পাঁচ থেকে এগারো বছর বয়সীদের সবাইকে ভ্যাকসিন দেওয়া হচ্ছে স্কুলকেন্দ্রীক আর সেজন্য সতেরো ডিজিটের জন্ম নিবন্ধন সনদের মাধ্যমেই রেজিস্ট্রেশন করতে হবে এরপর সেই রেজিস্ট্রেশনের কপি আবিডের স্কুলে জমা দিতে হবে সকূল থেকে নির্দিষ্ট টিকা প্রদান কেন্দ্রের ত্"&amp;" তো জানিয়ে দেওয়া হবে বা তা হলে তো ভালো আমার সন্তানের সুরক্ে চকি ভ্যাকসিনের রেজিস্ট্রেশন করব সুরক্ষা অ্যাপ কিংবা সুরক্ষা ওয়েবসাইট এটু রেজিস্ট্রেশন করতে হবে এছাড়া")</f>
        <v>সরকারিভাবে পাঁচ থেকে এগারো বছর বয়সীদের সবাইকে ভ্যাকসিন দেওয়া হচ্ছে স্কুলকেন্দ্রীক আর সেজন্য সতেরো ডিজিটের জন্ম নিবন্ধন সনদের মাধ্যমেই রেজিস্ট্রেশন করতে হবে এরপর সেই রেজিস্ট্রেশনের কপি আবিডের স্কুলে জমা দিতে হবে সকূল থেকে নির্দিষ্ট টিকা প্রদান কেন্দ্রের ত্ তো জানিয়ে দেওয়া হবে বা তা হলে তো ভালো আমার সন্তানের সুরক্ে চকি ভ্যাকসিনের রেজিস্ট্রেশন করব সুরক্ষা অ্যাপ কিংবা সুরক্ষা ওয়েবসাইট এটু রেজিস্ট্রেশন করতে হবে এছাড়া</v>
      </c>
      <c r="D7" s="2" t="str">
        <f>IFERROR(__xludf.DUMMYFUNCTION("""COMPUTED_VALUE"""),"No")</f>
        <v>No</v>
      </c>
      <c r="E7" s="2" t="str">
        <f>IFERROR(__xludf.DUMMYFUNCTION("""COMPUTED_VALUE"""),"Yes")</f>
        <v>Yes</v>
      </c>
      <c r="F7" s="2" t="str">
        <f>IFERROR(__xludf.DUMMYFUNCTION("""COMPUTED_VALUE"""),"Yes")</f>
        <v>Yes</v>
      </c>
      <c r="G7" s="2">
        <f>IFERROR(__xludf.DUMMYFUNCTION("""COMPUTED_VALUE"""),0.5)</f>
        <v>0.5</v>
      </c>
      <c r="H7" s="2">
        <f>IFERROR(__xludf.DUMMYFUNCTION("""COMPUTED_VALUE"""),0.0)</f>
        <v>0</v>
      </c>
      <c r="I7" s="2">
        <f>IFERROR(__xludf.DUMMYFUNCTION("""COMPUTED_VALUE"""),0.0)</f>
        <v>0</v>
      </c>
      <c r="J7" s="2">
        <f>IFERROR(__xludf.DUMMYFUNCTION("""COMPUTED_VALUE"""),0.0)</f>
        <v>0</v>
      </c>
      <c r="K7" s="2" t="str">
        <f>IFERROR(__xludf.DUMMYFUNCTION("""COMPUTED_VALUE"""),"4– Usable, minor flaws Minor background noise.")</f>
        <v>4– Usable, minor flaws Minor background noise.</v>
      </c>
      <c r="L7" s="2" t="str">
        <f>IFERROR(__xludf.DUMMYFUNCTION("""COMPUTED_VALUE"""),"No")</f>
        <v>No</v>
      </c>
    </row>
    <row r="8">
      <c r="A8" s="2" t="str">
        <f>IFERROR(__xludf.DUMMYFUNCTION("""COMPUTED_VALUE"""),"collect/miscellaneous/Dhaka FM/DFM - AUDIO CLIP (03-01-2023)/0151e564-0045-45e4-bbb8-4cfe610c3ace.flac")</f>
        <v>collect/miscellaneous/Dhaka FM/DFM - AUDIO CLIP (03-01-2023)/0151e564-0045-45e4-bbb8-4cfe610c3ace.flac</v>
      </c>
      <c r="B8" s="2">
        <f>IFERROR(__xludf.DUMMYFUNCTION("""COMPUTED_VALUE"""),9.728)</f>
        <v>9.728</v>
      </c>
      <c r="C8" s="2" t="str">
        <f>IFERROR(__xludf.DUMMYFUNCTION("""COMPUTED_VALUE"""),"্রেকে সোঅলসুট রা এটু টেক্স মি ওয়ানসিস সোসিক জের এই নাম্বারে ফেইসবুকে ডটকম স্লেষের লাভ ঢাকায় পাচ আমিই পেইজিক কমেন্ট করে নয়ন জয়দা ট্রাক")</f>
        <v>্রেকে সোঅলসুট রা এটু টেক্স মি ওয়ানসিস সোসিক জের এই নাম্বারে ফেইসবুকে ডটকম স্লেষের লাভ ঢাকায় পাচ আমিই পেইজিক কমেন্ট করে নয়ন জয়দা ট্রাক</v>
      </c>
      <c r="D8" s="2" t="str">
        <f>IFERROR(__xludf.DUMMYFUNCTION("""COMPUTED_VALUE"""),"No")</f>
        <v>No</v>
      </c>
      <c r="E8" s="2" t="str">
        <f>IFERROR(__xludf.DUMMYFUNCTION("""COMPUTED_VALUE"""),"Yes")</f>
        <v>Yes</v>
      </c>
      <c r="F8" s="2" t="str">
        <f>IFERROR(__xludf.DUMMYFUNCTION("""COMPUTED_VALUE"""),"Yes")</f>
        <v>Yes</v>
      </c>
      <c r="G8" s="2">
        <f>IFERROR(__xludf.DUMMYFUNCTION("""COMPUTED_VALUE"""),0.0)</f>
        <v>0</v>
      </c>
      <c r="H8" s="2">
        <f>IFERROR(__xludf.DUMMYFUNCTION("""COMPUTED_VALUE"""),0.0)</f>
        <v>0</v>
      </c>
      <c r="I8" s="2">
        <f>IFERROR(__xludf.DUMMYFUNCTION("""COMPUTED_VALUE"""),0.0)</f>
        <v>0</v>
      </c>
      <c r="J8" s="2">
        <f>IFERROR(__xludf.DUMMYFUNCTION("""COMPUTED_VALUE"""),0.0)</f>
        <v>0</v>
      </c>
      <c r="K8" s="2" t="str">
        <f>IFERROR(__xludf.DUMMYFUNCTION("""COMPUTED_VALUE"""),"1 - Unusable Severely degraded, or non-Bangla")</f>
        <v>1 - Unusable Severely degraded, or non-Bangla</v>
      </c>
      <c r="L8" s="2" t="str">
        <f>IFERROR(__xludf.DUMMYFUNCTION("""COMPUTED_VALUE"""),"Yes")</f>
        <v>Yes</v>
      </c>
    </row>
    <row r="9">
      <c r="A9" s="2" t="str">
        <f>IFERROR(__xludf.DUMMYFUNCTION("""COMPUTED_VALUE"""),"collect/miscellaneous/Dhaka FM/DFM - AUDIO CLIP (03-01-2023)/01a83d8d-f184-4909-b11f-131136da92e8.flac")</f>
        <v>collect/miscellaneous/Dhaka FM/DFM - AUDIO CLIP (03-01-2023)/01a83d8d-f184-4909-b11f-131136da92e8.flac</v>
      </c>
      <c r="B9" s="2">
        <f>IFERROR(__xludf.DUMMYFUNCTION("""COMPUTED_VALUE"""),2.163)</f>
        <v>2.163</v>
      </c>
      <c r="C9" s="2" t="str">
        <f>IFERROR(__xludf.DUMMYFUNCTION("""COMPUTED_VALUE"""),"শুনতে থাকুন এক নেইশ না স্টেশন")</f>
        <v>শুনতে থাকুন এক নেইশ না স্টেশন</v>
      </c>
      <c r="D9" s="2" t="str">
        <f>IFERROR(__xludf.DUMMYFUNCTION("""COMPUTED_VALUE"""),"No")</f>
        <v>No</v>
      </c>
      <c r="E9" s="2" t="str">
        <f>IFERROR(__xludf.DUMMYFUNCTION("""COMPUTED_VALUE"""),"Yes")</f>
        <v>Yes</v>
      </c>
      <c r="F9" s="2" t="str">
        <f>IFERROR(__xludf.DUMMYFUNCTION("""COMPUTED_VALUE"""),"Yes")</f>
        <v>Yes</v>
      </c>
      <c r="G9" s="2">
        <f>IFERROR(__xludf.DUMMYFUNCTION("""COMPUTED_VALUE"""),0.0)</f>
        <v>0</v>
      </c>
      <c r="H9" s="2">
        <f>IFERROR(__xludf.DUMMYFUNCTION("""COMPUTED_VALUE"""),0.0)</f>
        <v>0</v>
      </c>
      <c r="I9" s="2">
        <f>IFERROR(__xludf.DUMMYFUNCTION("""COMPUTED_VALUE"""),0.0)</f>
        <v>0</v>
      </c>
      <c r="J9" s="2">
        <f>IFERROR(__xludf.DUMMYFUNCTION("""COMPUTED_VALUE"""),0.0)</f>
        <v>0</v>
      </c>
      <c r="K9" s="2" t="str">
        <f>IFERROR(__xludf.DUMMYFUNCTION("""COMPUTED_VALUE"""),"1 - Unusable Severely degraded, or non-Bangla")</f>
        <v>1 - Unusable Severely degraded, or non-Bangla</v>
      </c>
      <c r="L9" s="2" t="str">
        <f>IFERROR(__xludf.DUMMYFUNCTION("""COMPUTED_VALUE"""),"Yes")</f>
        <v>Yes</v>
      </c>
    </row>
    <row r="10">
      <c r="A10" s="2" t="str">
        <f>IFERROR(__xludf.DUMMYFUNCTION("""COMPUTED_VALUE"""),"collect/miscellaneous/Dhaka FM/DFM - AUDIO CLIP (03-01-2023)/021402a9-9cb6-4410-a050-e2363f216240.flac")</f>
        <v>collect/miscellaneous/Dhaka FM/DFM - AUDIO CLIP (03-01-2023)/021402a9-9cb6-4410-a050-e2363f216240.flac</v>
      </c>
      <c r="B10" s="2">
        <f>IFERROR(__xludf.DUMMYFUNCTION("""COMPUTED_VALUE"""),30.0)</f>
        <v>30</v>
      </c>
      <c r="C10" s="2" t="str">
        <f>IFERROR(__xludf.DUMMYFUNCTION("""COMPUTED_VALUE"""),"মধ্যে দশ মিনিট ডুবিয়ে রাখতে হবে তারপর দশ মিনিট পর সেই জুস থেকে উঠিয়ে এটের উপরে দাড়চিনি আছে না দাঁরচিনের গুঁড়া এরে ওপরে ছড়িয়ে দিতে হবে ছড়িয়ে দিয়ে তারপরে আটনাযুক্ত একটা বাটিতে যেখানে আপনার মানে ডি হাইড্রেড ছাটমি আছে ডি হাইড্রেট বোল থাকে তাটা যদি না থাকে তাহ"&amp;"লে একটা চাল নির মধ্যে এটাকে নিয়ে খুব সুন্দর করে ঢেকে ছায়াযুক্ত স্থানে এটাকে চার ঘণ্টা ধরে শোকান পানিটা যেন ঝোরে যে এবং এটা যেন শুকিয়ে যায় শুকিয়ে গেলে দেখবেন")</f>
        <v>মধ্যে দশ মিনিট ডুবিয়ে রাখতে হবে তারপর দশ মিনিট পর সেই জুস থেকে উঠিয়ে এটের উপরে দাড়চিনি আছে না দাঁরচিনের গুঁড়া এরে ওপরে ছড়িয়ে দিতে হবে ছড়িয়ে দিয়ে তারপরে আটনাযুক্ত একটা বাটিতে যেখানে আপনার মানে ডি হাইড্রেড ছাটমি আছে ডি হাইড্রেট বোল থাকে তাটা যদি না থাকে তাহলে একটা চাল নির মধ্যে এটাকে নিয়ে খুব সুন্দর করে ঢেকে ছায়াযুক্ত স্থানে এটাকে চার ঘণ্টা ধরে শোকান পানিটা যেন ঝোরে যে এবং এটা যেন শুকিয়ে যায় শুকিয়ে গেলে দেখবেন</v>
      </c>
      <c r="D10" s="2" t="str">
        <f>IFERROR(__xludf.DUMMYFUNCTION("""COMPUTED_VALUE"""),"No")</f>
        <v>No</v>
      </c>
      <c r="E10" s="2" t="str">
        <f>IFERROR(__xludf.DUMMYFUNCTION("""COMPUTED_VALUE"""),"Yes")</f>
        <v>Yes</v>
      </c>
      <c r="F10" s="2" t="str">
        <f>IFERROR(__xludf.DUMMYFUNCTION("""COMPUTED_VALUE"""),"Yes")</f>
        <v>Yes</v>
      </c>
      <c r="G10" s="2">
        <f>IFERROR(__xludf.DUMMYFUNCTION("""COMPUTED_VALUE"""),0.5)</f>
        <v>0.5</v>
      </c>
      <c r="H10" s="2">
        <f>IFERROR(__xludf.DUMMYFUNCTION("""COMPUTED_VALUE"""),0.0)</f>
        <v>0</v>
      </c>
      <c r="I10" s="2">
        <f>IFERROR(__xludf.DUMMYFUNCTION("""COMPUTED_VALUE"""),0.0)</f>
        <v>0</v>
      </c>
      <c r="J10" s="2">
        <f>IFERROR(__xludf.DUMMYFUNCTION("""COMPUTED_VALUE"""),0.0)</f>
        <v>0</v>
      </c>
      <c r="K10" s="2" t="str">
        <f>IFERROR(__xludf.DUMMYFUNCTION("""COMPUTED_VALUE"""),"4– Usable, minor flaws Minor background noise.")</f>
        <v>4– Usable, minor flaws Minor background noise.</v>
      </c>
      <c r="L10" s="2" t="str">
        <f>IFERROR(__xludf.DUMMYFUNCTION("""COMPUTED_VALUE"""),"No")</f>
        <v>No</v>
      </c>
    </row>
    <row r="11">
      <c r="A11" s="2" t="str">
        <f>IFERROR(__xludf.DUMMYFUNCTION("""COMPUTED_VALUE"""),"collect/miscellaneous/Dhaka FM/DFM - AUDIO CLIP (03-01-2023)/024f3a63-1d68-4716-ae18-69b1dfec193a.flac")</f>
        <v>collect/miscellaneous/Dhaka FM/DFM - AUDIO CLIP (03-01-2023)/024f3a63-1d68-4716-ae18-69b1dfec193a.flac</v>
      </c>
      <c r="B11" s="2">
        <f>IFERROR(__xludf.DUMMYFUNCTION("""COMPUTED_VALUE"""),30.0)</f>
        <v>30</v>
      </c>
      <c r="C11" s="2" t="str">
        <f>IFERROR(__xludf.DUMMYFUNCTION("""COMPUTED_VALUE"""),"াকে এবং খুব ভালো লাগে তোমাকে ধন্যবাদ তবে আমাদের বারান্দায় তোমার বুদ্ধিমতোই আমরা কিন্তু এর কাজটা করি খুবই হালকা গাছ লাগাই হালকা পুলকা গাছগুলি যেমন হয় ধরো এটা খুব সহজেই দেখতেও সুন্দর লাগে বাতাসও আসে আবার আমরা দেখভাল করতে পারি ভালো হবে অনেক ধন্যবাদ আমাকে ওয়া"&amp;"টস্যেপট করার জন্য বাকিরা ওয়েরারিউগা এইজলেসে জয়েন উইত মি শিক্ষাকে দেখতে পাচেছি গানের অনুরোধ করেছেন ওয়াটসআপেও দেজকেল জিরো ওয়ানিট")</f>
        <v>াকে এবং খুব ভালো লাগে তোমাকে ধন্যবাদ তবে আমাদের বারান্দায় তোমার বুদ্ধিমতোই আমরা কিন্তু এর কাজটা করি খুবই হালকা গাছ লাগাই হালকা পুলকা গাছগুলি যেমন হয় ধরো এটা খুব সহজেই দেখতেও সুন্দর লাগে বাতাসও আসে আবার আমরা দেখভাল করতে পারি ভালো হবে অনেক ধন্যবাদ আমাকে ওয়াটস্যেপট করার জন্য বাকিরা ওয়েরারিউগা এইজলেসে জয়েন উইত মি শিক্ষাকে দেখতে পাচেছি গানের অনুরোধ করেছেন ওয়াটসআপেও দেজকেল জিরো ওয়ানিট</v>
      </c>
      <c r="D11" s="2" t="str">
        <f>IFERROR(__xludf.DUMMYFUNCTION("""COMPUTED_VALUE"""),"No")</f>
        <v>No</v>
      </c>
      <c r="E11" s="2" t="str">
        <f>IFERROR(__xludf.DUMMYFUNCTION("""COMPUTED_VALUE"""),"Yes")</f>
        <v>Yes</v>
      </c>
      <c r="F11" s="2" t="str">
        <f>IFERROR(__xludf.DUMMYFUNCTION("""COMPUTED_VALUE"""),"Yes")</f>
        <v>Yes</v>
      </c>
      <c r="G11" s="2">
        <f>IFERROR(__xludf.DUMMYFUNCTION("""COMPUTED_VALUE"""),0.5)</f>
        <v>0.5</v>
      </c>
      <c r="H11" s="2">
        <f>IFERROR(__xludf.DUMMYFUNCTION("""COMPUTED_VALUE"""),0.0)</f>
        <v>0</v>
      </c>
      <c r="I11" s="2">
        <f>IFERROR(__xludf.DUMMYFUNCTION("""COMPUTED_VALUE"""),0.0)</f>
        <v>0</v>
      </c>
      <c r="J11" s="2">
        <f>IFERROR(__xludf.DUMMYFUNCTION("""COMPUTED_VALUE"""),0.0)</f>
        <v>0</v>
      </c>
      <c r="K11" s="2" t="str">
        <f>IFERROR(__xludf.DUMMYFUNCTION("""COMPUTED_VALUE"""),"3 – Mixed language or inconsistent quality")</f>
        <v>3 – Mixed language or inconsistent quality</v>
      </c>
      <c r="L11" s="2" t="str">
        <f>IFERROR(__xludf.DUMMYFUNCTION("""COMPUTED_VALUE"""),"Yes")</f>
        <v>Yes</v>
      </c>
    </row>
    <row r="12">
      <c r="A12" s="2" t="str">
        <f>IFERROR(__xludf.DUMMYFUNCTION("""COMPUTED_VALUE"""),"collect/miscellaneous/Dhaka FM/DFM - AUDIO CLIP (03-01-2023)/0253aae1-ce6b-4815-a6e7-ec277398636e.flac")</f>
        <v>collect/miscellaneous/Dhaka FM/DFM - AUDIO CLIP (03-01-2023)/0253aae1-ce6b-4815-a6e7-ec277398636e.flac</v>
      </c>
      <c r="B12" s="2">
        <f>IFERROR(__xludf.DUMMYFUNCTION("""COMPUTED_VALUE"""),30.0)</f>
        <v>30</v>
      </c>
      <c r="C12" s="2" t="str">
        <f>IFERROR(__xludf.DUMMYFUNCTION("""COMPUTED_VALUE"""),"লাইফ হ্যাকস ্াক্স হেইভ রয়েন্স ওয়ালকাম ব্যাক্টর ঢাকা ফ্যামনাইনি পয়েন্ট ফোর অ্যাক নেউশন এক্সটেশনের লাইফ আক্স চলছে রিতার সাথে না ওয়ার্ডে ওয়ান্ডার সে স্কিনের ম স্মুথ নেসের জন্য এবং স্ক্িনটা একটু ট্রাইটেন করার জন্য মানে একটু টাইট করার জন্য ইউকেন্ডু ওয়ানতিং অনে"&amp;"ক কিছুই আমরা অ্যাপ্লাইড করে ওয়াইন অব ট্রাইস আমথিং ন্যাচুরাল দেটা যেটা হচ্ছে তেজ পাতা আছে না তেজপাতা পানিতে বয়েল করে সে বয়েল সেদ্ধ পানিটা তেজপাতা সেদ্ধ পানিা")</f>
        <v>লাইফ হ্যাকস ্াক্স হেইভ রয়েন্স ওয়ালকাম ব্যাক্টর ঢাকা ফ্যামনাইনি পয়েন্ট ফোর অ্যাক নেউশন এক্সটেশনের লাইফ আক্স চলছে রিতার সাথে না ওয়ার্ডে ওয়ান্ডার সে স্কিনের ম স্মুথ নেসের জন্য এবং স্ক্িনটা একটু ট্রাইটেন করার জন্য মানে একটু টাইট করার জন্য ইউকেন্ডু ওয়ানতিং অনেক কিছুই আমরা অ্যাপ্লাইড করে ওয়াইন অব ট্রাইস আমথিং ন্যাচুরাল দেটা যেটা হচ্ছে তেজ পাতা আছে না তেজপাতা পানিতে বয়েল করে সে বয়েল সেদ্ধ পানিটা তেজপাতা সেদ্ধ পানিা</v>
      </c>
      <c r="D12" s="2" t="str">
        <f>IFERROR(__xludf.DUMMYFUNCTION("""COMPUTED_VALUE"""),"No")</f>
        <v>No</v>
      </c>
      <c r="E12" s="2" t="str">
        <f>IFERROR(__xludf.DUMMYFUNCTION("""COMPUTED_VALUE"""),"Yes")</f>
        <v>Yes</v>
      </c>
      <c r="F12" s="2" t="str">
        <f>IFERROR(__xludf.DUMMYFUNCTION("""COMPUTED_VALUE"""),"Yes")</f>
        <v>Yes</v>
      </c>
      <c r="G12" s="2">
        <f>IFERROR(__xludf.DUMMYFUNCTION("""COMPUTED_VALUE"""),0.5)</f>
        <v>0.5</v>
      </c>
      <c r="H12" s="2">
        <f>IFERROR(__xludf.DUMMYFUNCTION("""COMPUTED_VALUE"""),0.0)</f>
        <v>0</v>
      </c>
      <c r="I12" s="2">
        <f>IFERROR(__xludf.DUMMYFUNCTION("""COMPUTED_VALUE"""),0.0)</f>
        <v>0</v>
      </c>
      <c r="J12" s="2">
        <f>IFERROR(__xludf.DUMMYFUNCTION("""COMPUTED_VALUE"""),0.0)</f>
        <v>0</v>
      </c>
      <c r="K12" s="2" t="str">
        <f>IFERROR(__xludf.DUMMYFUNCTION("""COMPUTED_VALUE"""),"2 - Poor quality Noisy, unclear,")</f>
        <v>2 - Poor quality Noisy, unclear,</v>
      </c>
      <c r="L12" s="2" t="str">
        <f>IFERROR(__xludf.DUMMYFUNCTION("""COMPUTED_VALUE"""),"Yes")</f>
        <v>Yes</v>
      </c>
    </row>
    <row r="13">
      <c r="A13" s="2" t="str">
        <f>IFERROR(__xludf.DUMMYFUNCTION("""COMPUTED_VALUE"""),"collect/miscellaneous/Dhaka FM/DFM - AUDIO CLIP (03-01-2023)/025c06ba-a8a4-43c1-93de-35316b60d08d.flac")</f>
        <v>collect/miscellaneous/Dhaka FM/DFM - AUDIO CLIP (03-01-2023)/025c06ba-a8a4-43c1-93de-35316b60d08d.flac</v>
      </c>
      <c r="B13" s="2">
        <f>IFERROR(__xludf.DUMMYFUNCTION("""COMPUTED_VALUE"""),30.0)</f>
        <v>30</v>
      </c>
      <c r="C13" s="2" t="str">
        <f>IFERROR(__xludf.DUMMYFUNCTION("""COMPUTED_VALUE"""),"ত্যাঙ্কি সোমা শ্রীতাপু র এতক্ষণ আপনারা শুনলেন ঈড শপিং আপডেট নগদের সৌজন্যে নগদের আরও কিছু আপডেট আমি আপনাদেরকে দিব একটু পর্ নগর্যাপ থেকে অ্যাকাউন্ট খুলে নিজ নাম্বারে বিশ টাকান ল রিচার্জে বিশ টাকা ক্যাশ ব্যাক দেশী নগরে বেশি লাভ নগুদ ঈদ শোপিং অপ্রিট ডানেশন সে"&amp;"ন্ট ঢাকায় ফার্ম নাইটি পয়েন্ট ফোর সাধী আছি আমি পিং কিছু আপনাদেরকে জানিয়ে দিচ্ছি ইসলামি এমএফএস অ্যাকাউন্ট একটি শক্তিশালী সরিয়া কমিটির")</f>
        <v>ত্যাঙ্কি সোমা শ্রীতাপু র এতক্ষণ আপনারা শুনলেন ঈড শপিং আপডেট নগদের সৌজন্যে নগদের আরও কিছু আপডেট আমি আপনাদেরকে দিব একটু পর্ নগর্যাপ থেকে অ্যাকাউন্ট খুলে নিজ নাম্বারে বিশ টাকান ল রিচার্জে বিশ টাকা ক্যাশ ব্যাক দেশী নগরে বেশি লাভ নগুদ ঈদ শোপিং অপ্রিট ডানেশন সেন্ট ঢাকায় ফার্ম নাইটি পয়েন্ট ফোর সাধী আছি আমি পিং কিছু আপনাদেরকে জানিয়ে দিচ্ছি ইসলামি এমএফএস অ্যাকাউন্ট একটি শক্তিশালী সরিয়া কমিটির</v>
      </c>
      <c r="D13" s="2" t="str">
        <f>IFERROR(__xludf.DUMMYFUNCTION("""COMPUTED_VALUE"""),"No")</f>
        <v>No</v>
      </c>
      <c r="E13" s="2" t="str">
        <f>IFERROR(__xludf.DUMMYFUNCTION("""COMPUTED_VALUE"""),"Yes")</f>
        <v>Yes</v>
      </c>
      <c r="F13" s="2" t="str">
        <f>IFERROR(__xludf.DUMMYFUNCTION("""COMPUTED_VALUE"""),"Yes")</f>
        <v>Yes</v>
      </c>
      <c r="G13" s="2">
        <f>IFERROR(__xludf.DUMMYFUNCTION("""COMPUTED_VALUE"""),0.0)</f>
        <v>0</v>
      </c>
      <c r="H13" s="2">
        <f>IFERROR(__xludf.DUMMYFUNCTION("""COMPUTED_VALUE"""),0.0)</f>
        <v>0</v>
      </c>
      <c r="I13" s="2">
        <f>IFERROR(__xludf.DUMMYFUNCTION("""COMPUTED_VALUE"""),0.0)</f>
        <v>0</v>
      </c>
      <c r="J13" s="2">
        <f>IFERROR(__xludf.DUMMYFUNCTION("""COMPUTED_VALUE"""),0.0)</f>
        <v>0</v>
      </c>
      <c r="K13" s="2" t="str">
        <f>IFERROR(__xludf.DUMMYFUNCTION("""COMPUTED_VALUE"""),"3 – Mixed language or inconsistent quality")</f>
        <v>3 – Mixed language or inconsistent quality</v>
      </c>
      <c r="L13" s="2" t="str">
        <f>IFERROR(__xludf.DUMMYFUNCTION("""COMPUTED_VALUE"""),"Yes")</f>
        <v>Yes</v>
      </c>
    </row>
    <row r="14">
      <c r="A14" s="2" t="str">
        <f>IFERROR(__xludf.DUMMYFUNCTION("""COMPUTED_VALUE"""),"collect/miscellaneous/Dhaka FM/DFM - AUDIO CLIP (03-01-2023)/02659e9b-7e22-4184-bc77-0dce15d6cbee.flac")</f>
        <v>collect/miscellaneous/Dhaka FM/DFM - AUDIO CLIP (03-01-2023)/02659e9b-7e22-4184-bc77-0dce15d6cbee.flac</v>
      </c>
      <c r="B14" s="2">
        <f>IFERROR(__xludf.DUMMYFUNCTION("""COMPUTED_VALUE"""),30.0)</f>
        <v>30</v>
      </c>
      <c r="C14" s="2" t="str">
        <f>IFERROR(__xludf.DUMMYFUNCTION("""COMPUTED_VALUE"""),"হুইচ করে বাচারটা বের করে নেন কিন্তু আমার মতো যারা ওই যে আনকোরা যারা আছে একদম নতুন রাধুনী যারা বা শখ করে যারা এটা ওটা বানাতে যায় ইউটিউব দেখে বা শুনে কিংবা টিকটক দেখে তাদের জন্য বলছি ইজ ভ্যারি ইজিতিং এখন দুপুর ক্রিম কিনতেই পাওয়া যায় একদম ফ্রেইস ক্রিম কিনতে "&amp;"পাওয়া যায় দোকানে সে ক্রিমটে এনে হুইস করে নিন অনেকক্ষণ হুইচ করতে করতে যেটা হবে ইউইল গেরিওর বাডার ফ্রেশ বার্ডার দেন ইউওয়াশেড প্রপালি সাবান পাড়িতে না")</f>
        <v>হুইচ করে বাচারটা বের করে নেন কিন্তু আমার মতো যারা ওই যে আনকোরা যারা আছে একদম নতুন রাধুনী যারা বা শখ করে যারা এটা ওটা বানাতে যায় ইউটিউব দেখে বা শুনে কিংবা টিকটক দেখে তাদের জন্য বলছি ইজ ভ্যারি ইজিতিং এখন দুপুর ক্রিম কিনতেই পাওয়া যায় একদম ফ্রেইস ক্রিম কিনতে পাওয়া যায় দোকানে সে ক্রিমটে এনে হুইস করে নিন অনেকক্ষণ হুইচ করতে করতে যেটা হবে ইউইল গেরিওর বাডার ফ্রেশ বার্ডার দেন ইউওয়াশেড প্রপালি সাবান পাড়িতে না</v>
      </c>
      <c r="D14" s="2" t="str">
        <f>IFERROR(__xludf.DUMMYFUNCTION("""COMPUTED_VALUE"""),"No")</f>
        <v>No</v>
      </c>
      <c r="E14" s="2" t="str">
        <f>IFERROR(__xludf.DUMMYFUNCTION("""COMPUTED_VALUE"""),"Yes")</f>
        <v>Yes</v>
      </c>
      <c r="F14" s="2" t="str">
        <f>IFERROR(__xludf.DUMMYFUNCTION("""COMPUTED_VALUE"""),"Yes")</f>
        <v>Yes</v>
      </c>
      <c r="G14" s="2">
        <f>IFERROR(__xludf.DUMMYFUNCTION("""COMPUTED_VALUE"""),0.5)</f>
        <v>0.5</v>
      </c>
      <c r="H14" s="2">
        <f>IFERROR(__xludf.DUMMYFUNCTION("""COMPUTED_VALUE"""),0.0)</f>
        <v>0</v>
      </c>
      <c r="I14" s="2">
        <f>IFERROR(__xludf.DUMMYFUNCTION("""COMPUTED_VALUE"""),0.0)</f>
        <v>0</v>
      </c>
      <c r="J14" s="2">
        <f>IFERROR(__xludf.DUMMYFUNCTION("""COMPUTED_VALUE"""),0.0)</f>
        <v>0</v>
      </c>
      <c r="K14" s="2" t="str">
        <f>IFERROR(__xludf.DUMMYFUNCTION("""COMPUTED_VALUE"""),"2 - Poor quality Noisy, unclear,")</f>
        <v>2 - Poor quality Noisy, unclear,</v>
      </c>
      <c r="L14" s="2" t="str">
        <f>IFERROR(__xludf.DUMMYFUNCTION("""COMPUTED_VALUE"""),"Yes")</f>
        <v>Yes</v>
      </c>
    </row>
    <row r="15">
      <c r="A15" s="2" t="str">
        <f>IFERROR(__xludf.DUMMYFUNCTION("""COMPUTED_VALUE"""),"collect/miscellaneous/Dhaka FM/DFM - AUDIO CLIP (03-01-2023)/028f3100-a2b5-43c3-9439-981c22d41b23.flac")</f>
        <v>collect/miscellaneous/Dhaka FM/DFM - AUDIO CLIP (03-01-2023)/028f3100-a2b5-43c3-9439-981c22d41b23.flac</v>
      </c>
      <c r="B15" s="2">
        <f>IFERROR(__xludf.DUMMYFUNCTION("""COMPUTED_VALUE"""),7.491)</f>
        <v>7.491</v>
      </c>
      <c r="C15" s="2" t="str">
        <f>IFERROR(__xludf.DUMMYFUNCTION("""COMPUTED_VALUE"""),"মানে প্যাচেজ থাকছেন আই স্ক্রিনে ইউক্েন ট্রাইদিস গার্লস অন লাইডিস সাউকে অকে নেয়েন জায়দে ট্রাক")</f>
        <v>মানে প্যাচেজ থাকছেন আই স্ক্রিনে ইউক্েন ট্রাইদিস গার্লস অন লাইডিস সাউকে অকে নেয়েন জায়দে ট্রাক</v>
      </c>
      <c r="D15" s="2" t="str">
        <f>IFERROR(__xludf.DUMMYFUNCTION("""COMPUTED_VALUE"""),"No")</f>
        <v>No</v>
      </c>
      <c r="E15" s="2" t="str">
        <f>IFERROR(__xludf.DUMMYFUNCTION("""COMPUTED_VALUE"""),"Yes")</f>
        <v>Yes</v>
      </c>
      <c r="F15" s="2" t="str">
        <f>IFERROR(__xludf.DUMMYFUNCTION("""COMPUTED_VALUE"""),"Yes")</f>
        <v>Yes</v>
      </c>
      <c r="G15" s="2">
        <f>IFERROR(__xludf.DUMMYFUNCTION("""COMPUTED_VALUE"""),0.0)</f>
        <v>0</v>
      </c>
      <c r="H15" s="2">
        <f>IFERROR(__xludf.DUMMYFUNCTION("""COMPUTED_VALUE"""),0.0)</f>
        <v>0</v>
      </c>
      <c r="I15" s="2">
        <f>IFERROR(__xludf.DUMMYFUNCTION("""COMPUTED_VALUE"""),0.0)</f>
        <v>0</v>
      </c>
      <c r="J15" s="2">
        <f>IFERROR(__xludf.DUMMYFUNCTION("""COMPUTED_VALUE"""),0.0)</f>
        <v>0</v>
      </c>
      <c r="K15" s="2" t="str">
        <f>IFERROR(__xludf.DUMMYFUNCTION("""COMPUTED_VALUE"""),"1 - Unusable Severely degraded, or non-Bangla")</f>
        <v>1 - Unusable Severely degraded, or non-Bangla</v>
      </c>
      <c r="L15" s="2" t="str">
        <f>IFERROR(__xludf.DUMMYFUNCTION("""COMPUTED_VALUE"""),"Yes")</f>
        <v>Yes</v>
      </c>
    </row>
    <row r="16">
      <c r="A16" s="2" t="str">
        <f>IFERROR(__xludf.DUMMYFUNCTION("""COMPUTED_VALUE"""),"collect/miscellaneous/Dhaka FM/DFM - AUDIO CLIP (03-01-2023)/028ff579-bf24-4aab-b38f-19437787da26.flac")</f>
        <v>collect/miscellaneous/Dhaka FM/DFM - AUDIO CLIP (03-01-2023)/028ff579-bf24-4aab-b38f-19437787da26.flac</v>
      </c>
      <c r="B16" s="2">
        <f>IFERROR(__xludf.DUMMYFUNCTION("""COMPUTED_VALUE"""),30.0)</f>
        <v>30</v>
      </c>
      <c r="C16" s="2" t="str">
        <f>IFERROR(__xludf.DUMMYFUNCTION("""COMPUTED_VALUE"""),"ডিম ডিমের কথা যদি বলি সেটা আমি কিন্তু প্রেমটাকে ডিমের সাথে তুলনা করছি না তবে ডিমের প্রতি যাদের প্রেম আছে সেই কথাটা বলছি ডিমের প্রতি যাদের প্রেম আছে ডিম ছাড়া যাদের চলে না তাদের জন্য বলছি যে আপনি পচা ডিম এবং ভালোডিম কি করে ছিনবেন এক গ্লাস দুইটা গ্লাস নেবেন "&amp;"দুই গ্লাস পানির মধ্যে এক টেবেল চামচ লবণ দুইটার মধ্যে দুই টেবল চামচ লবণ গুলিয়ে নিবেন গুলিয়ে ডিম দুইটা দিয়ে দিবেন তারপর যেটা ফ্রেশএগ সেটা ডুবে যাবে আর যেটা পচাডিম সেটা ভেসি ে")</f>
        <v>ডিম ডিমের কথা যদি বলি সেটা আমি কিন্তু প্রেমটাকে ডিমের সাথে তুলনা করছি না তবে ডিমের প্রতি যাদের প্রেম আছে সেই কথাটা বলছি ডিমের প্রতি যাদের প্রেম আছে ডিম ছাড়া যাদের চলে না তাদের জন্য বলছি যে আপনি পচা ডিম এবং ভালোডিম কি করে ছিনবেন এক গ্লাস দুইটা গ্লাস নেবেন দুই গ্লাস পানির মধ্যে এক টেবেল চামচ লবণ দুইটার মধ্যে দুই টেবল চামচ লবণ গুলিয়ে নিবেন গুলিয়ে ডিম দুইটা দিয়ে দিবেন তারপর যেটা ফ্রেশএগ সেটা ডুবে যাবে আর যেটা পচাডিম সেটা ভেসি ে</v>
      </c>
      <c r="D16" s="2" t="str">
        <f>IFERROR(__xludf.DUMMYFUNCTION("""COMPUTED_VALUE"""),"No")</f>
        <v>No</v>
      </c>
      <c r="E16" s="2" t="str">
        <f>IFERROR(__xludf.DUMMYFUNCTION("""COMPUTED_VALUE"""),"Yes")</f>
        <v>Yes</v>
      </c>
      <c r="F16" s="2" t="str">
        <f>IFERROR(__xludf.DUMMYFUNCTION("""COMPUTED_VALUE"""),"Yes")</f>
        <v>Yes</v>
      </c>
      <c r="G16" s="2">
        <f>IFERROR(__xludf.DUMMYFUNCTION("""COMPUTED_VALUE"""),0.5)</f>
        <v>0.5</v>
      </c>
      <c r="H16" s="2">
        <f>IFERROR(__xludf.DUMMYFUNCTION("""COMPUTED_VALUE"""),0.0)</f>
        <v>0</v>
      </c>
      <c r="I16" s="2">
        <f>IFERROR(__xludf.DUMMYFUNCTION("""COMPUTED_VALUE"""),0.0)</f>
        <v>0</v>
      </c>
      <c r="J16" s="2">
        <f>IFERROR(__xludf.DUMMYFUNCTION("""COMPUTED_VALUE"""),0.0)</f>
        <v>0</v>
      </c>
      <c r="K16" s="2" t="str">
        <f>IFERROR(__xludf.DUMMYFUNCTION("""COMPUTED_VALUE"""),"2 - Poor quality Noisy, unclear,")</f>
        <v>2 - Poor quality Noisy, unclear,</v>
      </c>
      <c r="L16" s="2" t="str">
        <f>IFERROR(__xludf.DUMMYFUNCTION("""COMPUTED_VALUE"""),"No")</f>
        <v>No</v>
      </c>
    </row>
    <row r="17">
      <c r="A17" s="2" t="str">
        <f>IFERROR(__xludf.DUMMYFUNCTION("""COMPUTED_VALUE"""),"collect/miscellaneous/Dhaka FM/DFM - AUDIO CLIP (03-01-2023)/029a858f-3c82-46e9-baf8-48278f46a6fd.flac")</f>
        <v>collect/miscellaneous/Dhaka FM/DFM - AUDIO CLIP (03-01-2023)/029a858f-3c82-46e9-baf8-48278f46a6fd.flac</v>
      </c>
      <c r="B17" s="2">
        <f>IFERROR(__xludf.DUMMYFUNCTION("""COMPUTED_VALUE"""),30.0)</f>
        <v>30</v>
      </c>
      <c r="C17" s="2" t="str">
        <f>IFERROR(__xludf.DUMMYFUNCTION("""COMPUTED_VALUE"""),"লাইফ হ্যাকস হ্ালো মাইডিয়াল লাভলিপিপল ইস্টাইম ফরে া সাম্মাসেইজেসে শকুন তলা বাস কুন তলা আপনার নামটা সুন্দর শেকুন তলা অনেকদিন পরে নাপডা শুনলাম আপনি লিখেছেন কি স্ত্রী পরিষ্কার করার আমে হর্টা আপনার ভালো লেগেছে ও ধন্যবাদ অনেক ধন্যবাদ তারপর দেখতে পাচ্ছি অপু এসএম"&amp;"এনস করেছেন গানের রিকোজ করেছে না ওপু আজকে কিসব ইতিহাসিক নামগুলো আমার সাথে যোগাযোগ করছে আমার বেশ ভালোই লাগছে নিজেকে বেশ ইতিহাসি")</f>
        <v>লাইফ হ্যাকস হ্ালো মাইডিয়াল লাভলিপিপল ইস্টাইম ফরে া সাম্মাসেইজেসে শকুন তলা বাস কুন তলা আপনার নামটা সুন্দর শেকুন তলা অনেকদিন পরে নাপডা শুনলাম আপনি লিখেছেন কি স্ত্রী পরিষ্কার করার আমে হর্টা আপনার ভালো লেগেছে ও ধন্যবাদ অনেক ধন্যবাদ তারপর দেখতে পাচ্ছি অপু এসএমএনস করেছেন গানের রিকোজ করেছে না ওপু আজকে কিসব ইতিহাসিক নামগুলো আমার সাথে যোগাযোগ করছে আমার বেশ ভালোই লাগছে নিজেকে বেশ ইতিহাসি</v>
      </c>
      <c r="D17" s="2" t="str">
        <f>IFERROR(__xludf.DUMMYFUNCTION("""COMPUTED_VALUE"""),"No")</f>
        <v>No</v>
      </c>
      <c r="E17" s="2" t="str">
        <f>IFERROR(__xludf.DUMMYFUNCTION("""COMPUTED_VALUE"""),"Yes")</f>
        <v>Yes</v>
      </c>
      <c r="F17" s="2" t="str">
        <f>IFERROR(__xludf.DUMMYFUNCTION("""COMPUTED_VALUE"""),"Yes")</f>
        <v>Yes</v>
      </c>
      <c r="G17" s="2">
        <f>IFERROR(__xludf.DUMMYFUNCTION("""COMPUTED_VALUE"""),0.0)</f>
        <v>0</v>
      </c>
      <c r="H17" s="2">
        <f>IFERROR(__xludf.DUMMYFUNCTION("""COMPUTED_VALUE"""),0.0)</f>
        <v>0</v>
      </c>
      <c r="I17" s="2">
        <f>IFERROR(__xludf.DUMMYFUNCTION("""COMPUTED_VALUE"""),0.0)</f>
        <v>0</v>
      </c>
      <c r="J17" s="2">
        <f>IFERROR(__xludf.DUMMYFUNCTION("""COMPUTED_VALUE"""),0.0)</f>
        <v>0</v>
      </c>
      <c r="K17" s="2" t="str">
        <f>IFERROR(__xludf.DUMMYFUNCTION("""COMPUTED_VALUE"""),"2 - Poor quality Noisy, unclear,")</f>
        <v>2 - Poor quality Noisy, unclear,</v>
      </c>
      <c r="L17" s="2" t="str">
        <f>IFERROR(__xludf.DUMMYFUNCTION("""COMPUTED_VALUE"""),"Yes")</f>
        <v>Yes</v>
      </c>
    </row>
    <row r="18">
      <c r="A18" s="2" t="str">
        <f>IFERROR(__xludf.DUMMYFUNCTION("""COMPUTED_VALUE"""),"collect/miscellaneous/Dhaka FM/DFM - AUDIO CLIP (03-01-2023)/02f26498-bb26-4baa-a29d-2a1a201e21f5.flac")</f>
        <v>collect/miscellaneous/Dhaka FM/DFM - AUDIO CLIP (03-01-2023)/02f26498-bb26-4baa-a29d-2a1a201e21f5.flac</v>
      </c>
      <c r="B18" s="2">
        <f>IFERROR(__xludf.DUMMYFUNCTION("""COMPUTED_VALUE"""),30.0)</f>
        <v>30</v>
      </c>
      <c r="C18" s="2" t="str">
        <f>IFERROR(__xludf.DUMMYFUNCTION("""COMPUTED_VALUE"""),"লাইফ ারেক্স কস হ্যালো ফ্রয়েন্স ওয়াল কামডুড ঢাকা ফাম নায় ফোর এক নেশন এক স্টেশনে রিতা জলে এসেছে বং শুরু হয়ে গেল লাইফ অ্যাকস লাইফ এক্সেস শুরুতে আপনাকে যে হ্াকটা দিয়ে শুরু করতে চাই সেটা হচ্ছে যে অনেক সেব আমরা বাব্যথা ব্যথা পেলে গায়ে বিভিন্ন জায়গায় দেখবেন হাতে"&amp;" পায়ে কিংবা পিঠে এরকম নীল চে দান বাগ হয়ে যায় ব্যথা পাওয়ার পরে ওই ব্যথার জায়গাটা নীল যে ডাক্তার আপনি কী করে রিমোভ করতে পারেন ব্যারি ইজেটুরি মোভিড")</f>
        <v>লাইফ ারেক্স কস হ্যালো ফ্রয়েন্স ওয়াল কামডুড ঢাকা ফাম নায় ফোর এক নেশন এক স্টেশনে রিতা জলে এসেছে বং শুরু হয়ে গেল লাইফ অ্যাকস লাইফ এক্সেস শুরুতে আপনাকে যে হ্াকটা দিয়ে শুরু করতে চাই সেটা হচ্ছে যে অনেক সেব আমরা বাব্যথা ব্যথা পেলে গায়ে বিভিন্ন জায়গায় দেখবেন হাতে পায়ে কিংবা পিঠে এরকম নীল চে দান বাগ হয়ে যায় ব্যথা পাওয়ার পরে ওই ব্যথার জায়গাটা নীল যে ডাক্তার আপনি কী করে রিমোভ করতে পারেন ব্যারি ইজেটুরি মোভিড</v>
      </c>
      <c r="D18" s="2" t="str">
        <f>IFERROR(__xludf.DUMMYFUNCTION("""COMPUTED_VALUE"""),"No")</f>
        <v>No</v>
      </c>
      <c r="E18" s="2" t="str">
        <f>IFERROR(__xludf.DUMMYFUNCTION("""COMPUTED_VALUE"""),"Yes")</f>
        <v>Yes</v>
      </c>
      <c r="F18" s="2" t="str">
        <f>IFERROR(__xludf.DUMMYFUNCTION("""COMPUTED_VALUE"""),"Yes")</f>
        <v>Yes</v>
      </c>
      <c r="G18" s="2">
        <f>IFERROR(__xludf.DUMMYFUNCTION("""COMPUTED_VALUE"""),0.5)</f>
        <v>0.5</v>
      </c>
      <c r="H18" s="2">
        <f>IFERROR(__xludf.DUMMYFUNCTION("""COMPUTED_VALUE"""),0.0)</f>
        <v>0</v>
      </c>
      <c r="I18" s="2">
        <f>IFERROR(__xludf.DUMMYFUNCTION("""COMPUTED_VALUE"""),0.0)</f>
        <v>0</v>
      </c>
      <c r="J18" s="2">
        <f>IFERROR(__xludf.DUMMYFUNCTION("""COMPUTED_VALUE"""),0.0)</f>
        <v>0</v>
      </c>
      <c r="K18" s="2" t="str">
        <f>IFERROR(__xludf.DUMMYFUNCTION("""COMPUTED_VALUE"""),"3 – Mixed language or inconsistent quality")</f>
        <v>3 – Mixed language or inconsistent quality</v>
      </c>
      <c r="L18" s="2" t="str">
        <f>IFERROR(__xludf.DUMMYFUNCTION("""COMPUTED_VALUE"""),"No")</f>
        <v>No</v>
      </c>
    </row>
    <row r="19">
      <c r="A19" s="2" t="str">
        <f>IFERROR(__xludf.DUMMYFUNCTION("""COMPUTED_VALUE"""),"collect/miscellaneous/Dhaka FM/DFM - AUDIO CLIP (03-01-2023)/02f49dfe-43af-4507-93ba-9e02c9470d7b.flac")</f>
        <v>collect/miscellaneous/Dhaka FM/DFM - AUDIO CLIP (03-01-2023)/02f49dfe-43af-4507-93ba-9e02c9470d7b.flac</v>
      </c>
      <c r="B19" s="2">
        <f>IFERROR(__xludf.DUMMYFUNCTION("""COMPUTED_VALUE"""),30.0)</f>
        <v>30</v>
      </c>
      <c r="C19" s="2" t="str">
        <f>IFERROR(__xludf.DUMMYFUNCTION("""COMPUTED_VALUE"""),"লাইফ হ্যাকস ্াক্স এই গাইজেন্ গা্লস ওয়েলকাম ব্যাকটু ঢাকা ফার্ন াইনি পয়েন্ট ফোর লাইফ অ্াক্সেরিতে আছি আপনার সাথে নাইকেন্সি সাম ওয়া স্াপস ওয়াজসঅ্যাপে যারা লিখেছেন রাত্রি লিখেছেন আপু পাঁচতার ব্যাপারটা মননেক ভালো লেগেছে আমি আজকেই ট্রাই করব আবিদা সুলতানা সুমী লি"&amp;"খেছেন যে আপু আমি তো অলোএস পাঁচ তাঘাই কিন্তু আপনার এই ট্রিকটা আমি ট্রাইকর বল থ্যাংকেউ ভ্যেরি মাস্ট্রাইকরে আমাকে জানিয়েন আর ইন্দা মিন্টেম রেস্ট্রোফিও ওয়াসেপ নাম্বার যেটা হচ্ে সেটা জানিয়ে দেই")</f>
        <v>লাইফ হ্যাকস ্াক্স এই গাইজেন্ গা্লস ওয়েলকাম ব্যাকটু ঢাকা ফার্ন াইনি পয়েন্ট ফোর লাইফ অ্াক্সেরিতে আছি আপনার সাথে নাইকেন্সি সাম ওয়া স্াপস ওয়াজসঅ্যাপে যারা লিখেছেন রাত্রি লিখেছেন আপু পাঁচতার ব্যাপারটা মননেক ভালো লেগেছে আমি আজকেই ট্রাই করব আবিদা সুলতানা সুমী লিখেছেন যে আপু আমি তো অলোএস পাঁচ তাঘাই কিন্তু আপনার এই ট্রিকটা আমি ট্রাইকর বল থ্যাংকেউ ভ্যেরি মাস্ট্রাইকরে আমাকে জানিয়েন আর ইন্দা মিন্টেম রেস্ট্রোফিও ওয়াসেপ নাম্বার যেটা হচ্ে সেটা জানিয়ে দেই</v>
      </c>
      <c r="D19" s="2" t="str">
        <f>IFERROR(__xludf.DUMMYFUNCTION("""COMPUTED_VALUE"""),"No")</f>
        <v>No</v>
      </c>
      <c r="E19" s="2" t="str">
        <f>IFERROR(__xludf.DUMMYFUNCTION("""COMPUTED_VALUE"""),"Yes")</f>
        <v>Yes</v>
      </c>
      <c r="F19" s="2" t="str">
        <f>IFERROR(__xludf.DUMMYFUNCTION("""COMPUTED_VALUE"""),"Yes")</f>
        <v>Yes</v>
      </c>
      <c r="G19" s="2">
        <f>IFERROR(__xludf.DUMMYFUNCTION("""COMPUTED_VALUE"""),0.5)</f>
        <v>0.5</v>
      </c>
      <c r="H19" s="2">
        <f>IFERROR(__xludf.DUMMYFUNCTION("""COMPUTED_VALUE"""),0.0)</f>
        <v>0</v>
      </c>
      <c r="I19" s="2">
        <f>IFERROR(__xludf.DUMMYFUNCTION("""COMPUTED_VALUE"""),0.0)</f>
        <v>0</v>
      </c>
      <c r="J19" s="2">
        <f>IFERROR(__xludf.DUMMYFUNCTION("""COMPUTED_VALUE"""),0.0)</f>
        <v>0</v>
      </c>
      <c r="K19" s="2" t="str">
        <f>IFERROR(__xludf.DUMMYFUNCTION("""COMPUTED_VALUE"""),"2 - Poor quality Noisy, unclear,")</f>
        <v>2 - Poor quality Noisy, unclear,</v>
      </c>
      <c r="L19" s="2" t="str">
        <f>IFERROR(__xludf.DUMMYFUNCTION("""COMPUTED_VALUE"""),"Yes")</f>
        <v>Yes</v>
      </c>
    </row>
    <row r="20">
      <c r="A20" s="2" t="str">
        <f>IFERROR(__xludf.DUMMYFUNCTION("""COMPUTED_VALUE"""),"collect/miscellaneous/Dhaka FM/DFM - AUDIO CLIP (03-01-2023)/02f6dd0f-6c62-4ba0-b834-b330ab2539ff.flac")</f>
        <v>collect/miscellaneous/Dhaka FM/DFM - AUDIO CLIP (03-01-2023)/02f6dd0f-6c62-4ba0-b834-b330ab2539ff.flac</v>
      </c>
      <c r="B20" s="2">
        <f>IFERROR(__xludf.DUMMYFUNCTION("""COMPUTED_VALUE"""),30.0)</f>
        <v>30</v>
      </c>
      <c r="C20" s="2" t="str">
        <f>IFERROR(__xludf.DUMMYFUNCTION("""COMPUTED_VALUE"""),"মিশিয়ে খেলে কিন্তু আপনি বেশ আরাম পেতে পারেন এছাড়াও দ্ুধের সঙ্গে রসুন মিশিয়ে খেলে শরীরে যে খারাপ কোলেস্ট্রেলগুলো আছে সেগুলো কমাতেও সাহায্যি করে তো আপনি চেষ্টা করে দেখতে পারেন কিন্তু প্রাণ ফ্রোটো হেল টিপস এনিটাইম ফ্রোটটাইম রানফ্রুটি হেলথ টিপস এনি টাইম ফ্রুট"&amp;"োটাইম এই রমঝান মাসে সারাদিন রোজা রাখার পর নিজেকে হেলদি এবং ফিট ্রাখতে ইফটারে রাখুন ব্রাউ্ডফ্রুটো ব্রাউন্ ফ্লুট হতে আছে ভি")</f>
        <v>মিশিয়ে খেলে কিন্তু আপনি বেশ আরাম পেতে পারেন এছাড়াও দ্ুধের সঙ্গে রসুন মিশিয়ে খেলে শরীরে যে খারাপ কোলেস্ট্রেলগুলো আছে সেগুলো কমাতেও সাহায্যি করে তো আপনি চেষ্টা করে দেখতে পারেন কিন্তু প্রাণ ফ্রোটো হেল টিপস এনিটাইম ফ্রোটটাইম রানফ্রুটি হেলথ টিপস এনি টাইম ফ্রুটোটাইম এই রমঝান মাসে সারাদিন রোজা রাখার পর নিজেকে হেলদি এবং ফিট ্রাখতে ইফটারে রাখুন ব্রাউ্ডফ্রুটো ব্রাউন্ ফ্লুট হতে আছে ভি</v>
      </c>
      <c r="D20" s="2" t="str">
        <f>IFERROR(__xludf.DUMMYFUNCTION("""COMPUTED_VALUE"""),"No")</f>
        <v>No</v>
      </c>
      <c r="E20" s="2" t="str">
        <f>IFERROR(__xludf.DUMMYFUNCTION("""COMPUTED_VALUE"""),"Yes")</f>
        <v>Yes</v>
      </c>
      <c r="F20" s="2" t="str">
        <f>IFERROR(__xludf.DUMMYFUNCTION("""COMPUTED_VALUE"""),"Yes")</f>
        <v>Yes</v>
      </c>
      <c r="G20" s="2">
        <f>IFERROR(__xludf.DUMMYFUNCTION("""COMPUTED_VALUE"""),0.5)</f>
        <v>0.5</v>
      </c>
      <c r="H20" s="2">
        <f>IFERROR(__xludf.DUMMYFUNCTION("""COMPUTED_VALUE"""),0.0)</f>
        <v>0</v>
      </c>
      <c r="I20" s="2">
        <f>IFERROR(__xludf.DUMMYFUNCTION("""COMPUTED_VALUE"""),0.0)</f>
        <v>0</v>
      </c>
      <c r="J20" s="2">
        <f>IFERROR(__xludf.DUMMYFUNCTION("""COMPUTED_VALUE"""),0.0)</f>
        <v>0</v>
      </c>
      <c r="K20" s="2" t="str">
        <f>IFERROR(__xludf.DUMMYFUNCTION("""COMPUTED_VALUE"""),"2 - Poor quality Noisy, unclear,")</f>
        <v>2 - Poor quality Noisy, unclear,</v>
      </c>
      <c r="L20" s="2" t="str">
        <f>IFERROR(__xludf.DUMMYFUNCTION("""COMPUTED_VALUE"""),"Yes")</f>
        <v>Yes</v>
      </c>
    </row>
    <row r="21">
      <c r="A21" s="2" t="str">
        <f>IFERROR(__xludf.DUMMYFUNCTION("""COMPUTED_VALUE"""),"collect/miscellaneous/Dhaka FM/DFM - AUDIO CLIP (03-01-2023)/030fa84d-2507-4d9e-846f-d20a638aee56.flac")</f>
        <v>collect/miscellaneous/Dhaka FM/DFM - AUDIO CLIP (03-01-2023)/030fa84d-2507-4d9e-846f-d20a638aee56.flac</v>
      </c>
      <c r="B21" s="2">
        <f>IFERROR(__xludf.DUMMYFUNCTION("""COMPUTED_VALUE"""),30.0)</f>
        <v>30</v>
      </c>
      <c r="C21" s="2" t="str">
        <f>IFERROR(__xludf.DUMMYFUNCTION("""COMPUTED_VALUE"""),"নখের নিচে একটা দাগ পড়ে যায় আলু কাটার জন্য এবং কাটার জনয একটা গন্ধ চলে আছে ওয়াট ইউকেন ডিউ আয়দার ইউকেন ইউজলেমন লেবুদি এ আপনারা ঘোষে নিতে পারেন নখ এবং হাতের পুরো হাতটায় লেবুর রস দিয়ে ঘোষ নিতে পারেন এবং কিছুক্ষণ আপনি ঘষে নিয়ে তারপরে কিছুক্ষণ রেখে হাতটা ধুয়ে দ"&amp;"িন দেখবেন একটা ফ্রেশনেস চলে আসছে হাতা গন্ধ নেয়ে কালচেটা দাগও নেই এবং মিউল ফেল দ্য ফ্রেশনেস")</f>
        <v>নখের নিচে একটা দাগ পড়ে যায় আলু কাটার জন্য এবং কাটার জনয একটা গন্ধ চলে আছে ওয়াট ইউকেন ডিউ আয়দার ইউকেন ইউজলেমন লেবুদি এ আপনারা ঘোষে নিতে পারেন নখ এবং হাতের পুরো হাতটায় লেবুর রস দিয়ে ঘোষ নিতে পারেন এবং কিছুক্ষণ আপনি ঘষে নিয়ে তারপরে কিছুক্ষণ রেখে হাতটা ধুয়ে দিন দেখবেন একটা ফ্রেশনেস চলে আসছে হাতা গন্ধ নেয়ে কালচেটা দাগও নেই এবং মিউল ফেল দ্য ফ্রেশনেস</v>
      </c>
      <c r="D21" s="2" t="str">
        <f>IFERROR(__xludf.DUMMYFUNCTION("""COMPUTED_VALUE"""),"No")</f>
        <v>No</v>
      </c>
      <c r="E21" s="2" t="str">
        <f>IFERROR(__xludf.DUMMYFUNCTION("""COMPUTED_VALUE"""),"Yes")</f>
        <v>Yes</v>
      </c>
      <c r="F21" s="2" t="str">
        <f>IFERROR(__xludf.DUMMYFUNCTION("""COMPUTED_VALUE"""),"Yes")</f>
        <v>Yes</v>
      </c>
      <c r="G21" s="2">
        <f>IFERROR(__xludf.DUMMYFUNCTION("""COMPUTED_VALUE"""),0.5)</f>
        <v>0.5</v>
      </c>
      <c r="H21" s="2">
        <f>IFERROR(__xludf.DUMMYFUNCTION("""COMPUTED_VALUE"""),0.0)</f>
        <v>0</v>
      </c>
      <c r="I21" s="2">
        <f>IFERROR(__xludf.DUMMYFUNCTION("""COMPUTED_VALUE"""),0.0)</f>
        <v>0</v>
      </c>
      <c r="J21" s="2">
        <f>IFERROR(__xludf.DUMMYFUNCTION("""COMPUTED_VALUE"""),0.0)</f>
        <v>0</v>
      </c>
      <c r="K21" s="2" t="str">
        <f>IFERROR(__xludf.DUMMYFUNCTION("""COMPUTED_VALUE"""),"3 – Mixed language or inconsistent quality")</f>
        <v>3 – Mixed language or inconsistent quality</v>
      </c>
      <c r="L21" s="2" t="str">
        <f>IFERROR(__xludf.DUMMYFUNCTION("""COMPUTED_VALUE"""),"Yes")</f>
        <v>Yes</v>
      </c>
    </row>
    <row r="22">
      <c r="A22" s="2" t="str">
        <f>IFERROR(__xludf.DUMMYFUNCTION("""COMPUTED_VALUE"""),"collect/miscellaneous/Dhaka FM/DFM - AUDIO CLIP (03-01-2023)/03542fbe-ed8c-4c57-87d4-049a77a1372d.flac")</f>
        <v>collect/miscellaneous/Dhaka FM/DFM - AUDIO CLIP (03-01-2023)/03542fbe-ed8c-4c57-87d4-049a77a1372d.flac</v>
      </c>
      <c r="B22" s="2">
        <f>IFERROR(__xludf.DUMMYFUNCTION("""COMPUTED_VALUE"""),30.0)</f>
        <v>30</v>
      </c>
      <c r="C22" s="2" t="str">
        <f>IFERROR(__xludf.DUMMYFUNCTION("""COMPUTED_VALUE"""),"নগুত ঈদ শোপিং অপটিড হভারেন্স ওয়াল কামটোড ঢাকা ফেম নায়নিফ হন ফোর এ্যাকনেশন এ্ক্স্টেশনে চলছে ঈদ শপিং আপডেট নগদেশ ওজন্যে তো নগদীট ঈদ শপিং আপডেট আমরা এখন জানব জুয়েলার কাছ থেকে চলে যাব জুয়েলার কাছে হ্যালো জুয়েল হয়লো লিসনার্স ট্র্াংকিউ সোম হছে আমাকে কানেট করবার"&amp;" জন্য নবদেশ সওজন্যে ঈটশপিং আপডেট নিয়েই মুহূর্তে আমি আছি আপনাদের সঙ্গে এই মুহূর্তে আমি রয়েছে এ যে পুননফিচার পার্কে আমরা দেখতে পাচ্ছে একজন ক্রেতা বন্ধু আমাদের সামনে হ্যালো কেমন আছেন আলামনিা")</f>
        <v>নগুত ঈদ শোপিং অপটিড হভারেন্স ওয়াল কামটোড ঢাকা ফেম নায়নিফ হন ফোর এ্যাকনেশন এ্ক্স্টেশনে চলছে ঈদ শপিং আপডেট নগদেশ ওজন্যে তো নগদীট ঈদ শপিং আপডেট আমরা এখন জানব জুয়েলার কাছ থেকে চলে যাব জুয়েলার কাছে হ্যালো জুয়েল হয়লো লিসনার্স ট্র্াংকিউ সোম হছে আমাকে কানেট করবার জন্য নবদেশ সওজন্যে ঈটশপিং আপডেট নিয়েই মুহূর্তে আমি আছি আপনাদের সঙ্গে এই মুহূর্তে আমি রয়েছে এ যে পুননফিচার পার্কে আমরা দেখতে পাচ্ছে একজন ক্রেতা বন্ধু আমাদের সামনে হ্যালো কেমন আছেন আলামনিা</v>
      </c>
      <c r="D22" s="2" t="str">
        <f>IFERROR(__xludf.DUMMYFUNCTION("""COMPUTED_VALUE"""),"No")</f>
        <v>No</v>
      </c>
      <c r="E22" s="2" t="str">
        <f>IFERROR(__xludf.DUMMYFUNCTION("""COMPUTED_VALUE"""),"Yes")</f>
        <v>Yes</v>
      </c>
      <c r="F22" s="2" t="str">
        <f>IFERROR(__xludf.DUMMYFUNCTION("""COMPUTED_VALUE"""),"Yes")</f>
        <v>Yes</v>
      </c>
      <c r="G22" s="2">
        <f>IFERROR(__xludf.DUMMYFUNCTION("""COMPUTED_VALUE"""),0.5)</f>
        <v>0.5</v>
      </c>
      <c r="H22" s="2">
        <f>IFERROR(__xludf.DUMMYFUNCTION("""COMPUTED_VALUE"""),0.0)</f>
        <v>0</v>
      </c>
      <c r="I22" s="2">
        <f>IFERROR(__xludf.DUMMYFUNCTION("""COMPUTED_VALUE"""),0.0)</f>
        <v>0</v>
      </c>
      <c r="J22" s="2">
        <f>IFERROR(__xludf.DUMMYFUNCTION("""COMPUTED_VALUE"""),0.0)</f>
        <v>0</v>
      </c>
      <c r="K22" s="2" t="str">
        <f>IFERROR(__xludf.DUMMYFUNCTION("""COMPUTED_VALUE"""),"3 – Mixed language or inconsistent quality")</f>
        <v>3 – Mixed language or inconsistent quality</v>
      </c>
      <c r="L22" s="2" t="str">
        <f>IFERROR(__xludf.DUMMYFUNCTION("""COMPUTED_VALUE"""),"Yes")</f>
        <v>Yes</v>
      </c>
    </row>
    <row r="23">
      <c r="A23" s="2" t="str">
        <f>IFERROR(__xludf.DUMMYFUNCTION("""COMPUTED_VALUE"""),"collect/miscellaneous/Dhaka FM/DFM - AUDIO CLIP (03-01-2023)/0371c570-9f60-4644-9662-0f7d49a39a63.flac")</f>
        <v>collect/miscellaneous/Dhaka FM/DFM - AUDIO CLIP (03-01-2023)/0371c570-9f60-4644-9662-0f7d49a39a63.flac</v>
      </c>
      <c r="B23" s="2">
        <f>IFERROR(__xludf.DUMMYFUNCTION("""COMPUTED_VALUE"""),30.0)</f>
        <v>30</v>
      </c>
      <c r="C23" s="2" t="str">
        <f>IFERROR(__xludf.DUMMYFUNCTION("""COMPUTED_VALUE"""),"লাইফ হাকস াক েন্স ওয়ালকাম ব্যাকটু ঢাকা ফাম নইনি হন্ ফর এ্যাকনেশন এক স্টেশনে চলছে লাইফ অ্াক্স উইচরিতা সামটাইমস কি হয় যে আমাদের পছন্দের সবজিটা কিংবা পছন্দের ফুল গাছে যখন পোকা ধরে না তখন দেখবেন ফুলটা খেয়ে নিচ্ছে সবজিটা খেয়ে নিচ্ছে কিংবা পাতাতেও অপোকা ধরে যায়"&amp;" এই সমস্ত সিচুয়েশনটা ট্যাকেল দেওয়ার জন্য যে ব্যাপারটা আপনার দরকার সেটা হচ্ছে যে ভিনেগার আছেনা অ্যাপ্টল সিডার ভিনেগার অ্যাপটাল সিডার বিনেগার একটা বোতলের মধ্যে")</f>
        <v>লাইফ হাকস াক েন্স ওয়ালকাম ব্যাকটু ঢাকা ফাম নইনি হন্ ফর এ্যাকনেশন এক স্টেশনে চলছে লাইফ অ্াক্স উইচরিতা সামটাইমস কি হয় যে আমাদের পছন্দের সবজিটা কিংবা পছন্দের ফুল গাছে যখন পোকা ধরে না তখন দেখবেন ফুলটা খেয়ে নিচ্ছে সবজিটা খেয়ে নিচ্ছে কিংবা পাতাতেও অপোকা ধরে যায় এই সমস্ত সিচুয়েশনটা ট্যাকেল দেওয়ার জন্য যে ব্যাপারটা আপনার দরকার সেটা হচ্ছে যে ভিনেগার আছেনা অ্যাপ্টল সিডার ভিনেগার অ্যাপটাল সিডার বিনেগার একটা বোতলের মধ্যে</v>
      </c>
      <c r="D23" s="2" t="str">
        <f>IFERROR(__xludf.DUMMYFUNCTION("""COMPUTED_VALUE"""),"No")</f>
        <v>No</v>
      </c>
      <c r="E23" s="2" t="str">
        <f>IFERROR(__xludf.DUMMYFUNCTION("""COMPUTED_VALUE"""),"Yes")</f>
        <v>Yes</v>
      </c>
      <c r="F23" s="2" t="str">
        <f>IFERROR(__xludf.DUMMYFUNCTION("""COMPUTED_VALUE"""),"Yes")</f>
        <v>Yes</v>
      </c>
      <c r="G23" s="2">
        <f>IFERROR(__xludf.DUMMYFUNCTION("""COMPUTED_VALUE"""),0.0)</f>
        <v>0</v>
      </c>
      <c r="H23" s="2">
        <f>IFERROR(__xludf.DUMMYFUNCTION("""COMPUTED_VALUE"""),0.0)</f>
        <v>0</v>
      </c>
      <c r="I23" s="2">
        <f>IFERROR(__xludf.DUMMYFUNCTION("""COMPUTED_VALUE"""),0.0)</f>
        <v>0</v>
      </c>
      <c r="J23" s="2">
        <f>IFERROR(__xludf.DUMMYFUNCTION("""COMPUTED_VALUE"""),0.0)</f>
        <v>0</v>
      </c>
      <c r="K23" s="2" t="str">
        <f>IFERROR(__xludf.DUMMYFUNCTION("""COMPUTED_VALUE"""),"2 - Poor quality Noisy, unclear,")</f>
        <v>2 - Poor quality Noisy, unclear,</v>
      </c>
      <c r="L23" s="2" t="str">
        <f>IFERROR(__xludf.DUMMYFUNCTION("""COMPUTED_VALUE"""),"Yes")</f>
        <v>Yes</v>
      </c>
    </row>
    <row r="24">
      <c r="A24" s="2" t="str">
        <f>IFERROR(__xludf.DUMMYFUNCTION("""COMPUTED_VALUE"""),"collect/miscellaneous/Dhaka FM/DFM - AUDIO CLIP (03-01-2023)/038801b9-a4ce-4423-8869-8c68e8f50641.flac")</f>
        <v>collect/miscellaneous/Dhaka FM/DFM - AUDIO CLIP (03-01-2023)/038801b9-a4ce-4423-8869-8c68e8f50641.flac</v>
      </c>
      <c r="B24" s="2">
        <f>IFERROR(__xludf.DUMMYFUNCTION("""COMPUTED_VALUE"""),30.0)</f>
        <v>30</v>
      </c>
      <c r="C24" s="2" t="str">
        <f>IFERROR(__xludf.DUMMYFUNCTION("""COMPUTED_VALUE"""),"এটা যে ব্যাপারটা হয়েছে এটাকে ফেলে দিতে হবে অনইয়র ডাস্ট বি নরওয়েস্টেস বক্সকে বা ডোন বিফোর ডিউদেট জেস্ট্রায়ট কারণ আপনি যদে ট্রাই করেন দেখবেন যেটা আবার খাওয়ার যোগ্য হয়েছে এবং খাদ্যা খাদ্য মান এবং খাদ্যোপাদন অটউট রয়েছে প্লেটশ পাতার মধ্যে লেমিটেলিও প্রথমে যেটা"&amp;" করবেন একটা বাটিতে গরম পানি নেবেন গরম পানি তেটা কিছুক্ষণ ডিপ করবেন মানে চুপানো যাকে ভালো হকে ছেবাবেন কানে ধরে চুবিয়ে উঠিয়ে তার প্র একদম কোর্ট পানি একদম ঠান্ডা বরফ টান্ডা পানিতে")</f>
        <v>এটা যে ব্যাপারটা হয়েছে এটাকে ফেলে দিতে হবে অনইয়র ডাস্ট বি নরওয়েস্টেস বক্সকে বা ডোন বিফোর ডিউদেট জেস্ট্রায়ট কারণ আপনি যদে ট্রাই করেন দেখবেন যেটা আবার খাওয়ার যোগ্য হয়েছে এবং খাদ্যা খাদ্য মান এবং খাদ্যোপাদন অটউট রয়েছে প্লেটশ পাতার মধ্যে লেমিটেলিও প্রথমে যেটা করবেন একটা বাটিতে গরম পানি নেবেন গরম পানি তেটা কিছুক্ষণ ডিপ করবেন মানে চুপানো যাকে ভালো হকে ছেবাবেন কানে ধরে চুবিয়ে উঠিয়ে তার প্র একদম কোর্ট পানি একদম ঠান্ডা বরফ টান্ডা পানিতে</v>
      </c>
      <c r="D24" s="2" t="str">
        <f>IFERROR(__xludf.DUMMYFUNCTION("""COMPUTED_VALUE"""),"No")</f>
        <v>No</v>
      </c>
      <c r="E24" s="2" t="str">
        <f>IFERROR(__xludf.DUMMYFUNCTION("""COMPUTED_VALUE"""),"Yes")</f>
        <v>Yes</v>
      </c>
      <c r="F24" s="2" t="str">
        <f>IFERROR(__xludf.DUMMYFUNCTION("""COMPUTED_VALUE"""),"Yes")</f>
        <v>Yes</v>
      </c>
      <c r="G24" s="2">
        <f>IFERROR(__xludf.DUMMYFUNCTION("""COMPUTED_VALUE"""),0.5)</f>
        <v>0.5</v>
      </c>
      <c r="H24" s="2">
        <f>IFERROR(__xludf.DUMMYFUNCTION("""COMPUTED_VALUE"""),0.0)</f>
        <v>0</v>
      </c>
      <c r="I24" s="2">
        <f>IFERROR(__xludf.DUMMYFUNCTION("""COMPUTED_VALUE"""),0.0)</f>
        <v>0</v>
      </c>
      <c r="J24" s="2">
        <f>IFERROR(__xludf.DUMMYFUNCTION("""COMPUTED_VALUE"""),0.0)</f>
        <v>0</v>
      </c>
      <c r="K24" s="2" t="str">
        <f>IFERROR(__xludf.DUMMYFUNCTION("""COMPUTED_VALUE"""),"3 – Mixed language or inconsistent quality")</f>
        <v>3 – Mixed language or inconsistent quality</v>
      </c>
      <c r="L24" s="2" t="str">
        <f>IFERROR(__xludf.DUMMYFUNCTION("""COMPUTED_VALUE"""),"Yes")</f>
        <v>Yes</v>
      </c>
    </row>
    <row r="25">
      <c r="A25" s="2" t="str">
        <f>IFERROR(__xludf.DUMMYFUNCTION("""COMPUTED_VALUE"""),"collect/miscellaneous/Dhaka FM/DFM - AUDIO CLIP (03-01-2023)/03c509ce-7223-4762-a67e-cdb51f0be353.flac")</f>
        <v>collect/miscellaneous/Dhaka FM/DFM - AUDIO CLIP (03-01-2023)/03c509ce-7223-4762-a67e-cdb51f0be353.flac</v>
      </c>
      <c r="B25" s="2">
        <f>IFERROR(__xludf.DUMMYFUNCTION("""COMPUTED_VALUE"""),30.0)</f>
        <v>30</v>
      </c>
      <c r="C25" s="2" t="str">
        <f>IFERROR(__xludf.DUMMYFUNCTION("""COMPUTED_VALUE"""),"ধা কপির ছাপ দিয়ে কিন্তু ইউকেন মেইকা থ্রি নতুলির আচল দি আঁচড় দিয়ে গাছের মতো একটা সেপ দিয়ে দেবেন নিচে দেখবেন এটা ট্রি হয়ে গেছে অন্ডওলসো দারিজ ওয়ান থিং যদি আপনি ব্রকলি অর ফুল কপি দিয়ে ইফিউ ট্রায় ইউক্রেন মেঘ ফ্লাওয়ার ট্রিওলসো ইভইউ ট্রায়ন াড়োস দিয়েও করা যায় ঢ্"&amp;"যাঁড়স দিয়েও কিন্তু আপনি ফুল এবং গাছ দুটি করে ফেলতে পারেন ওয়ায়নেট ট্রাইওয়ে সাম ব্রকুলি ফ্লাওয়ারর উইথঢ্যাঁরশ কারণ")</f>
        <v>ধা কপির ছাপ দিয়ে কিন্তু ইউকেন মেইকা থ্রি নতুলির আচল দি আঁচড় দিয়ে গাছের মতো একটা সেপ দিয়ে দেবেন নিচে দেখবেন এটা ট্রি হয়ে গেছে অন্ডওলসো দারিজ ওয়ান থিং যদি আপনি ব্রকলি অর ফুল কপি দিয়ে ইফিউ ট্রায় ইউক্রেন মেঘ ফ্লাওয়ার ট্রিওলসো ইভইউ ট্রায়ন াড়োস দিয়েও করা যায় ঢ্যাঁড়স দিয়েও কিন্তু আপনি ফুল এবং গাছ দুটি করে ফেলতে পারেন ওয়ায়নেট ট্রাইওয়ে সাম ব্রকুলি ফ্লাওয়ারর উইথঢ্যাঁরশ কারণ</v>
      </c>
      <c r="D25" s="2" t="str">
        <f>IFERROR(__xludf.DUMMYFUNCTION("""COMPUTED_VALUE"""),"No")</f>
        <v>No</v>
      </c>
      <c r="E25" s="2" t="str">
        <f>IFERROR(__xludf.DUMMYFUNCTION("""COMPUTED_VALUE"""),"Yes")</f>
        <v>Yes</v>
      </c>
      <c r="F25" s="2" t="str">
        <f>IFERROR(__xludf.DUMMYFUNCTION("""COMPUTED_VALUE"""),"Yes")</f>
        <v>Yes</v>
      </c>
      <c r="G25" s="2">
        <f>IFERROR(__xludf.DUMMYFUNCTION("""COMPUTED_VALUE"""),0.0)</f>
        <v>0</v>
      </c>
      <c r="H25" s="2">
        <f>IFERROR(__xludf.DUMMYFUNCTION("""COMPUTED_VALUE"""),0.0)</f>
        <v>0</v>
      </c>
      <c r="I25" s="2">
        <f>IFERROR(__xludf.DUMMYFUNCTION("""COMPUTED_VALUE"""),0.0)</f>
        <v>0</v>
      </c>
      <c r="J25" s="2">
        <f>IFERROR(__xludf.DUMMYFUNCTION("""COMPUTED_VALUE"""),0.0)</f>
        <v>0</v>
      </c>
      <c r="K25" s="2" t="str">
        <f>IFERROR(__xludf.DUMMYFUNCTION("""COMPUTED_VALUE"""),"1 - Unusable Severely degraded, or non-Bangla")</f>
        <v>1 - Unusable Severely degraded, or non-Bangla</v>
      </c>
      <c r="L25" s="2" t="str">
        <f>IFERROR(__xludf.DUMMYFUNCTION("""COMPUTED_VALUE"""),"Yes")</f>
        <v>Yes</v>
      </c>
    </row>
    <row r="26">
      <c r="A26" s="2"/>
      <c r="B26" s="2"/>
      <c r="C26" s="2"/>
      <c r="D26" s="2"/>
      <c r="E26" s="2"/>
      <c r="F26" s="2"/>
      <c r="G26" s="2"/>
      <c r="H26" s="2"/>
      <c r="I26" s="2"/>
      <c r="J26" s="2"/>
      <c r="K26" s="2"/>
      <c r="L26" s="2"/>
    </row>
    <row r="27">
      <c r="A27" s="2"/>
      <c r="B27" s="2"/>
      <c r="C27" s="2"/>
      <c r="D27" s="2"/>
      <c r="E27" s="2"/>
      <c r="F27" s="2"/>
      <c r="G27" s="2"/>
      <c r="H27" s="2"/>
      <c r="I27" s="2"/>
      <c r="J27" s="2"/>
      <c r="K27" s="2"/>
      <c r="L27" s="2"/>
    </row>
    <row r="28">
      <c r="A28" s="2"/>
      <c r="B28" s="2"/>
      <c r="C28" s="2"/>
      <c r="D28" s="2"/>
      <c r="E28" s="2"/>
      <c r="F28" s="2"/>
      <c r="G28" s="2"/>
      <c r="H28" s="2"/>
      <c r="I28" s="2"/>
      <c r="J28" s="2"/>
      <c r="K28" s="2"/>
      <c r="L28" s="2"/>
    </row>
    <row r="29">
      <c r="A29" s="2"/>
      <c r="B29" s="2"/>
      <c r="C29" s="2"/>
      <c r="D29" s="2"/>
      <c r="E29" s="2"/>
      <c r="F29" s="2"/>
      <c r="G29" s="2"/>
      <c r="H29" s="2"/>
      <c r="I29" s="2"/>
      <c r="J29" s="2"/>
      <c r="K29" s="2"/>
      <c r="L29" s="2"/>
    </row>
    <row r="30">
      <c r="A30" s="2"/>
      <c r="B30" s="2"/>
      <c r="C30" s="2"/>
      <c r="D30" s="2"/>
      <c r="E30" s="2"/>
      <c r="F30" s="2"/>
      <c r="G30" s="2"/>
      <c r="H30" s="2"/>
      <c r="I30" s="2"/>
      <c r="J30" s="2"/>
      <c r="K30" s="2"/>
      <c r="L30" s="2"/>
    </row>
    <row r="31">
      <c r="A31" s="2"/>
      <c r="B31" s="2"/>
      <c r="C31" s="2"/>
      <c r="D31" s="2"/>
      <c r="E31" s="2"/>
      <c r="F31" s="2"/>
      <c r="G31" s="2"/>
      <c r="H31" s="2"/>
      <c r="I31" s="2"/>
      <c r="J31" s="2"/>
      <c r="K31" s="2"/>
      <c r="L31" s="2"/>
    </row>
    <row r="32">
      <c r="A32" s="2"/>
      <c r="B32" s="2"/>
      <c r="C32" s="2"/>
      <c r="D32" s="2"/>
      <c r="E32" s="2"/>
      <c r="F32" s="2"/>
      <c r="G32" s="2"/>
      <c r="H32" s="2"/>
      <c r="I32" s="2"/>
      <c r="J32" s="2"/>
      <c r="K32" s="2"/>
      <c r="L32" s="2"/>
    </row>
    <row r="33">
      <c r="A33" s="2"/>
      <c r="B33" s="2"/>
      <c r="C33" s="2"/>
      <c r="D33" s="2"/>
      <c r="E33" s="2"/>
      <c r="F33" s="2"/>
      <c r="G33" s="2"/>
      <c r="H33" s="2"/>
      <c r="I33" s="2"/>
      <c r="J33" s="2"/>
      <c r="K33" s="2"/>
      <c r="L33" s="2"/>
    </row>
    <row r="34">
      <c r="A34" s="2"/>
      <c r="B34" s="2"/>
      <c r="C34" s="2"/>
      <c r="D34" s="2"/>
      <c r="E34" s="2"/>
      <c r="F34" s="2"/>
      <c r="G34" s="2"/>
      <c r="H34" s="2"/>
      <c r="I34" s="2"/>
      <c r="J34" s="2"/>
      <c r="K34" s="2"/>
      <c r="L34" s="2"/>
    </row>
    <row r="35">
      <c r="A35" s="2"/>
      <c r="B35" s="2"/>
      <c r="C35" s="2"/>
      <c r="D35" s="2"/>
      <c r="E35" s="2"/>
      <c r="F35" s="2"/>
      <c r="G35" s="2"/>
      <c r="H35" s="2"/>
      <c r="I35" s="2"/>
      <c r="J35" s="2"/>
      <c r="K35" s="2"/>
      <c r="L35" s="2"/>
    </row>
    <row r="36">
      <c r="A36" s="2"/>
      <c r="B36" s="2"/>
      <c r="C36" s="2"/>
      <c r="D36" s="2"/>
      <c r="E36" s="2"/>
      <c r="F36" s="2"/>
      <c r="G36" s="2"/>
      <c r="H36" s="2"/>
      <c r="I36" s="2"/>
      <c r="J36" s="2"/>
      <c r="K36" s="2"/>
      <c r="L36" s="2"/>
    </row>
    <row r="37">
      <c r="A37" s="2"/>
      <c r="B37" s="2"/>
      <c r="C37" s="2"/>
      <c r="D37" s="2"/>
      <c r="E37" s="2"/>
      <c r="F37" s="2"/>
      <c r="G37" s="2"/>
      <c r="H37" s="2"/>
      <c r="I37" s="2"/>
      <c r="J37" s="2"/>
      <c r="K37" s="2"/>
      <c r="L37" s="2"/>
    </row>
    <row r="38">
      <c r="A38" s="2"/>
      <c r="B38" s="2"/>
      <c r="C38" s="2"/>
      <c r="D38" s="2"/>
      <c r="E38" s="2"/>
      <c r="F38" s="2"/>
      <c r="G38" s="2"/>
      <c r="H38" s="2"/>
      <c r="I38" s="2"/>
      <c r="J38" s="2"/>
      <c r="K38" s="2"/>
      <c r="L38" s="2"/>
    </row>
    <row r="39">
      <c r="A39" s="2"/>
      <c r="B39" s="2"/>
      <c r="C39" s="2"/>
      <c r="D39" s="2"/>
      <c r="E39" s="2"/>
      <c r="F39" s="2"/>
      <c r="G39" s="2"/>
      <c r="H39" s="2"/>
      <c r="I39" s="2"/>
      <c r="J39" s="2"/>
      <c r="K39" s="2"/>
      <c r="L39" s="2"/>
    </row>
    <row r="40">
      <c r="A40" s="2"/>
      <c r="B40" s="2"/>
      <c r="C40" s="2"/>
      <c r="D40" s="2"/>
      <c r="E40" s="2"/>
      <c r="F40" s="2"/>
      <c r="G40" s="2"/>
      <c r="H40" s="2"/>
      <c r="I40" s="2"/>
      <c r="J40" s="2"/>
      <c r="K40" s="2"/>
      <c r="L40" s="2"/>
    </row>
    <row r="41">
      <c r="A41" s="2"/>
      <c r="B41" s="2"/>
      <c r="C41" s="2"/>
      <c r="D41" s="2"/>
      <c r="E41" s="2"/>
      <c r="F41" s="2"/>
      <c r="G41" s="2"/>
      <c r="H41" s="2"/>
      <c r="I41" s="2"/>
      <c r="J41" s="2"/>
      <c r="K41" s="2"/>
      <c r="L41" s="2"/>
    </row>
    <row r="42">
      <c r="A42" s="2"/>
      <c r="B42" s="2"/>
      <c r="C42" s="2"/>
      <c r="D42" s="2"/>
      <c r="E42" s="2"/>
      <c r="F42" s="2"/>
      <c r="G42" s="2"/>
      <c r="H42" s="2"/>
      <c r="I42" s="2"/>
      <c r="J42" s="2"/>
      <c r="K42" s="2"/>
      <c r="L42" s="2"/>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s>
  <sheetData>
    <row r="1">
      <c r="A1" s="2" t="str">
        <f>IFERROR(__xludf.DUMMYFUNCTION("IMPORTRANGE(""https://docs.google.com/spreadsheets/d/1SAKeZ4GYS3XtJ3VK37ysMZSatkqfS7NH3Cp-nBziPqw/edit?gid=1682353242#gid=1682353242"", ""Data!A:L"")"),"Filename")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IFERROR(__xludf.DUMMYFUNCTION("""COMPUTED_VALUE"""),"collect/read/YouTube/Sangsad TV/496k9w8hY2c/04328744-5707-465f-b46b-70da4b8f64b1.flac")</f>
        <v>collect/read/YouTube/Sangsad TV/496k9w8hY2c/04328744-5707-465f-b46b-70da4b8f64b1.flac</v>
      </c>
      <c r="B2" s="2">
        <f>IFERROR(__xludf.DUMMYFUNCTION("""COMPUTED_VALUE"""),30.0)</f>
        <v>30</v>
      </c>
      <c r="C2" s="2" t="str">
        <f>IFERROR(__xludf.DUMMYFUNCTION("""COMPUTED_VALUE"""),"স্কার মিটিংয়ে বলেছি এবারের সংগ্রাম আমার মুক্তির সংগ্রাম এবারের সংগ্রাম প্দিরতের সংগ্রাম তোমার পঁচিশ তারিখ অ্যাসেম্বলি কল করেছে রক্তের দাগ শুকায় নাই আমি দশ তারিখে বলে দিয়েছি যে ওই শহীদে রক্তের উপর দিয়ে পাড়া দিয়ে আট টিসিতে মুজিবুর রহমান")</f>
        <v>স্কার মিটিংয়ে বলেছি এবারের সংগ্রাম আমার মুক্তির সংগ্রাম এবারের সংগ্রাম প্দিরতের সংগ্রাম তোমার পঁচিশ তারিখ অ্যাসেম্বলি কল করেছে রক্তের দাগ শুকায় নাই আমি দশ তারিখে বলে দিয়েছি যে ওই শহীদে রক্তের উপর দিয়ে পাড়া দিয়ে আট টিসিতে মুজিবুর রহমান</v>
      </c>
      <c r="D2" s="2" t="str">
        <f>IFERROR(__xludf.DUMMYFUNCTION("""COMPUTED_VALUE"""),"Yes")</f>
        <v>Yes</v>
      </c>
      <c r="E2" s="2" t="str">
        <f>IFERROR(__xludf.DUMMYFUNCTION("""COMPUTED_VALUE"""),"Yes")</f>
        <v>Yes</v>
      </c>
      <c r="F2" s="2" t="str">
        <f>IFERROR(__xludf.DUMMYFUNCTION("""COMPUTED_VALUE"""),"Yes")</f>
        <v>Yes</v>
      </c>
      <c r="G2" s="2">
        <f>IFERROR(__xludf.DUMMYFUNCTION("""COMPUTED_VALUE"""),0.5)</f>
        <v>0.5</v>
      </c>
      <c r="H2" s="2">
        <f>IFERROR(__xludf.DUMMYFUNCTION("""COMPUTED_VALUE"""),0.5)</f>
        <v>0.5</v>
      </c>
      <c r="I2" s="2">
        <f>IFERROR(__xludf.DUMMYFUNCTION("""COMPUTED_VALUE"""),0.5)</f>
        <v>0.5</v>
      </c>
      <c r="J2" s="2">
        <f>IFERROR(__xludf.DUMMYFUNCTION("""COMPUTED_VALUE"""),0.5)</f>
        <v>0.5</v>
      </c>
      <c r="K2" s="2" t="str">
        <f>IFERROR(__xludf.DUMMYFUNCTION("""COMPUTED_VALUE"""),"4– Usable, minor flaws Minor background noise.")</f>
        <v>4– Usable, minor flaws Minor background noise.</v>
      </c>
      <c r="L2" s="2" t="str">
        <f>IFERROR(__xludf.DUMMYFUNCTION("""COMPUTED_VALUE"""),"No")</f>
        <v>No</v>
      </c>
    </row>
    <row r="3">
      <c r="A3" s="2" t="str">
        <f>IFERROR(__xludf.DUMMYFUNCTION("""COMPUTED_VALUE"""),"collect/read/YouTube/Sangsad TV/496k9w8hY2c/15ed5ae4-2bc6-4372-acdd-69e173e7a5b9.flac")</f>
        <v>collect/read/YouTube/Sangsad TV/496k9w8hY2c/15ed5ae4-2bc6-4372-acdd-69e173e7a5b9.flac</v>
      </c>
      <c r="B3" s="2">
        <f>IFERROR(__xludf.DUMMYFUNCTION("""COMPUTED_VALUE"""),30.0)</f>
        <v>30</v>
      </c>
      <c r="C3" s="2" t="str">
        <f>IFERROR(__xludf.DUMMYFUNCTION("""COMPUTED_VALUE"""),"এ নির্বাচন হলো নারা জানেন দোষ কি আমাদের আজকে তিনি আমি প্েসিডাহিয়া খান সাভেবের সঙ্গে দেখা করেছি আপনার জানিন আলাপ আলোচনা করেছি আমি পাক শুধু বাংলার হয় পাকিস্তানের মেজরিইপার্টির নেতা হিসেবে তাকে অনুরোধ করলাম পনেরোই ফেব্রুয়ারি তারিখে আপনি জাতীয় পরিষদের অধিবেশন"&amp;" দেয়")</f>
        <v>এ নির্বাচন হলো নারা জানেন দোষ কি আমাদের আজকে তিনি আমি প্েসিডাহিয়া খান সাভেবের সঙ্গে দেখা করেছি আপনার জানিন আলাপ আলোচনা করেছি আমি পাক শুধু বাংলার হয় পাকিস্তানের মেজরিইপার্টির নেতা হিসেবে তাকে অনুরোধ করলাম পনেরোই ফেব্রুয়ারি তারিখে আপনি জাতীয় পরিষদের অধিবেশন দেয়</v>
      </c>
      <c r="D3" s="2" t="str">
        <f>IFERROR(__xludf.DUMMYFUNCTION("""COMPUTED_VALUE"""),"Yes")</f>
        <v>Yes</v>
      </c>
      <c r="E3" s="2" t="str">
        <f>IFERROR(__xludf.DUMMYFUNCTION("""COMPUTED_VALUE"""),"Yes")</f>
        <v>Yes</v>
      </c>
      <c r="F3" s="2" t="str">
        <f>IFERROR(__xludf.DUMMYFUNCTION("""COMPUTED_VALUE"""),"Yes")</f>
        <v>Yes</v>
      </c>
      <c r="G3" s="2">
        <f>IFERROR(__xludf.DUMMYFUNCTION("""COMPUTED_VALUE"""),0.5)</f>
        <v>0.5</v>
      </c>
      <c r="H3" s="2">
        <f>IFERROR(__xludf.DUMMYFUNCTION("""COMPUTED_VALUE"""),0.5)</f>
        <v>0.5</v>
      </c>
      <c r="I3" s="2">
        <f>IFERROR(__xludf.DUMMYFUNCTION("""COMPUTED_VALUE"""),0.5)</f>
        <v>0.5</v>
      </c>
      <c r="J3" s="2">
        <f>IFERROR(__xludf.DUMMYFUNCTION("""COMPUTED_VALUE"""),0.0)</f>
        <v>0</v>
      </c>
      <c r="K3" s="2" t="str">
        <f>IFERROR(__xludf.DUMMYFUNCTION("""COMPUTED_VALUE"""),"3 – Mixed language or inconsistent quality")</f>
        <v>3 – Mixed language or inconsistent quality</v>
      </c>
      <c r="L3" s="2" t="str">
        <f>IFERROR(__xludf.DUMMYFUNCTION("""COMPUTED_VALUE"""),"No")</f>
        <v>No</v>
      </c>
    </row>
    <row r="4">
      <c r="A4" s="2" t="str">
        <f>IFERROR(__xludf.DUMMYFUNCTION("""COMPUTED_VALUE"""),"collect/read/YouTube/Sangsad TV/496k9w8hY2c/19dc0c3b-d6be-4c9f-ad14-e35996c9519b.flac")</f>
        <v>collect/read/YouTube/Sangsad TV/496k9w8hY2c/19dc0c3b-d6be-4c9f-ad14-e35996c9519b.flac</v>
      </c>
      <c r="B4" s="2">
        <f>IFERROR(__xludf.DUMMYFUNCTION("""COMPUTED_VALUE"""),23.494)</f>
        <v>23.494</v>
      </c>
      <c r="C4" s="2" t="str">
        <f>IFERROR(__xludf.DUMMYFUNCTION("""COMPUTED_VALUE"""),"রক্তেঋণ শোধ করব মনে আছে উপার্জন্য প্রস্তুত আমাদের মিটিংয়ে এখানে শেষ আসালামুয়ালাইকুম ব তি প বা ে কে স্বাধীন")</f>
        <v>রক্তেঋণ শোধ করব মনে আছে উপার্জন্য প্রস্তুত আমাদের মিটিংয়ে এখানে শেষ আসালামুয়ালাইকুম ব তি প বা ে কে স্বাধীন</v>
      </c>
      <c r="D4" s="2" t="str">
        <f>IFERROR(__xludf.DUMMYFUNCTION("""COMPUTED_VALUE"""),"No")</f>
        <v>No</v>
      </c>
      <c r="E4" s="2" t="str">
        <f>IFERROR(__xludf.DUMMYFUNCTION("""COMPUTED_VALUE"""),"Yes")</f>
        <v>Yes</v>
      </c>
      <c r="F4" s="2" t="str">
        <f>IFERROR(__xludf.DUMMYFUNCTION("""COMPUTED_VALUE"""),"Yes")</f>
        <v>Yes</v>
      </c>
      <c r="G4" s="2">
        <f>IFERROR(__xludf.DUMMYFUNCTION("""COMPUTED_VALUE"""),0.0)</f>
        <v>0</v>
      </c>
      <c r="H4" s="2">
        <f>IFERROR(__xludf.DUMMYFUNCTION("""COMPUTED_VALUE"""),0.0)</f>
        <v>0</v>
      </c>
      <c r="I4" s="2">
        <f>IFERROR(__xludf.DUMMYFUNCTION("""COMPUTED_VALUE"""),0.0)</f>
        <v>0</v>
      </c>
      <c r="J4" s="2">
        <f>IFERROR(__xludf.DUMMYFUNCTION("""COMPUTED_VALUE"""),0.0)</f>
        <v>0</v>
      </c>
      <c r="K4" s="2" t="str">
        <f>IFERROR(__xludf.DUMMYFUNCTION("""COMPUTED_VALUE"""),"2 - Poor quality Noisy, unclear,")</f>
        <v>2 - Poor quality Noisy, unclear,</v>
      </c>
      <c r="L4" s="2" t="str">
        <f>IFERROR(__xludf.DUMMYFUNCTION("""COMPUTED_VALUE"""),"No")</f>
        <v>No</v>
      </c>
    </row>
    <row r="5">
      <c r="A5" s="2" t="str">
        <f>IFERROR(__xludf.DUMMYFUNCTION("""COMPUTED_VALUE"""),"collect/read/YouTube/Sangsad TV/496k9w8hY2c/3b243748-c4ff-43e2-a1f5-7b66ada1bc6c.flac")</f>
        <v>collect/read/YouTube/Sangsad TV/496k9w8hY2c/3b243748-c4ff-43e2-a1f5-7b66ada1bc6c.flac</v>
      </c>
      <c r="B5" s="2">
        <f>IFERROR(__xludf.DUMMYFUNCTION("""COMPUTED_VALUE"""),30.0)</f>
        <v>30</v>
      </c>
      <c r="C5" s="2" t="str">
        <f>IFERROR(__xludf.DUMMYFUNCTION("""COMPUTED_VALUE"""),"সংগ্রম আমাদের মুক্তির সংগ্রম এবাদের সংগ্রাম স্বাধীনতার স আপনারা আমার উপরে বিশ্বাস নিশ্চয় রাখেন জীবনে আমার রক্তের বিনিময়েও আপনাদের সঙ্গে বেঈমানি করি নাই প্রধানমন্ত্রীত্ব দিয়ে আমাকে নিতে পারে নাই ফাঁসি কাজ্টা আসামি দিয়ে আমাকে নিতে পারে নাই যে রক্ত দিয়ে আপনা"&amp;"র মে একদিন জেলে থেকে বার করে নিয়ে এসেছিলেন এই রেসকোর্স ময়দান আমি বলেছিলাম ার রক্ত দিয়ে")</f>
        <v>সংগ্রম আমাদের মুক্তির সংগ্রম এবাদের সংগ্রাম স্বাধীনতার স আপনারা আমার উপরে বিশ্বাস নিশ্চয় রাখেন জীবনে আমার রক্তের বিনিময়েও আপনাদের সঙ্গে বেঈমানি করি নাই প্রধানমন্ত্রীত্ব দিয়ে আমাকে নিতে পারে নাই ফাঁসি কাজ্টা আসামি দিয়ে আমাকে নিতে পারে নাই যে রক্ত দিয়ে আপনার মে একদিন জেলে থেকে বার করে নিয়ে এসেছিলেন এই রেসকোর্স ময়দান আমি বলেছিলাম ার রক্ত দিয়ে</v>
      </c>
      <c r="D5" s="2" t="str">
        <f>IFERROR(__xludf.DUMMYFUNCTION("""COMPUTED_VALUE"""),"No")</f>
        <v>No</v>
      </c>
      <c r="E5" s="2" t="str">
        <f>IFERROR(__xludf.DUMMYFUNCTION("""COMPUTED_VALUE"""),"Yes")</f>
        <v>Yes</v>
      </c>
      <c r="F5" s="2" t="str">
        <f>IFERROR(__xludf.DUMMYFUNCTION("""COMPUTED_VALUE"""),"Yes")</f>
        <v>Yes</v>
      </c>
      <c r="G5" s="2">
        <f>IFERROR(__xludf.DUMMYFUNCTION("""COMPUTED_VALUE"""),0.5)</f>
        <v>0.5</v>
      </c>
      <c r="H5" s="2">
        <f>IFERROR(__xludf.DUMMYFUNCTION("""COMPUTED_VALUE"""),0.5)</f>
        <v>0.5</v>
      </c>
      <c r="I5" s="2">
        <f>IFERROR(__xludf.DUMMYFUNCTION("""COMPUTED_VALUE"""),1.0)</f>
        <v>1</v>
      </c>
      <c r="J5" s="2">
        <f>IFERROR(__xludf.DUMMYFUNCTION("""COMPUTED_VALUE"""),0.0)</f>
        <v>0</v>
      </c>
      <c r="K5" s="2" t="str">
        <f>IFERROR(__xludf.DUMMYFUNCTION("""COMPUTED_VALUE"""),"3 – Mixed language or inconsistent quality")</f>
        <v>3 – Mixed language or inconsistent quality</v>
      </c>
      <c r="L5" s="2" t="str">
        <f>IFERROR(__xludf.DUMMYFUNCTION("""COMPUTED_VALUE"""),"No")</f>
        <v>No</v>
      </c>
    </row>
    <row r="6">
      <c r="A6" s="2" t="str">
        <f>IFERROR(__xludf.DUMMYFUNCTION("""COMPUTED_VALUE"""),"collect/read/YouTube/Sangsad TV/496k9w8hY2c/48a03fe9-e685-4cba-aff0-e092adf90fb4.flac")</f>
        <v>collect/read/YouTube/Sangsad TV/496k9w8hY2c/48a03fe9-e685-4cba-aff0-e092adf90fb4.flac</v>
      </c>
      <c r="B6" s="2">
        <f>IFERROR(__xludf.DUMMYFUNCTION("""COMPUTED_VALUE"""),29.414)</f>
        <v>29.414</v>
      </c>
      <c r="C6" s="2" t="str">
        <f>IFERROR(__xludf.DUMMYFUNCTION("""COMPUTED_VALUE"""),"বলবেন আপনি কেন রাস্তায় বেরিয়েছেন সারাদিনটা সকাল থেকেই ঘরে ছিলাম জুমার নামাজ পড়ার পরেই পরিস্থিতি ডিটাকট টু বিজ্ঞানে দেখতেছি আর কি কি অবস্থা রোডেরে পরিস্থিতি দেখার জন্য বের হয়েছে পরিস্থিতি দেখার জন্য মানে মানুষ কি রোডে আসা না আছে যে এজন্য আসলাম আর কি অধিকাং"&amp;"শ মানুষের আসলে একই রকম অবস্থা যে পরিস্থিতি দেখার জন্য অনেকে রাস্তায় বের হচ্ছেন আমরা আমি কি হাসবো না কাইসবো ঠিক বুঝতে পাইতেছি না সুপ্রিয় দর্শক আজকের মত বিদায় নিচ্ছে আরেক দিবাদসবাই ভালত কবি")</f>
        <v>বলবেন আপনি কেন রাস্তায় বেরিয়েছেন সারাদিনটা সকাল থেকেই ঘরে ছিলাম জুমার নামাজ পড়ার পরেই পরিস্থিতি ডিটাকট টু বিজ্ঞানে দেখতেছি আর কি কি অবস্থা রোডেরে পরিস্থিতি দেখার জন্য বের হয়েছে পরিস্থিতি দেখার জন্য মানে মানুষ কি রোডে আসা না আছে যে এজন্য আসলাম আর কি অধিকাংশ মানুষের আসলে একই রকম অবস্থা যে পরিস্থিতি দেখার জন্য অনেকে রাস্তায় বের হচ্ছেন আমরা আমি কি হাসবো না কাইসবো ঠিক বুঝতে পাইতেছি না সুপ্রিয় দর্শক আজকের মত বিদায় নিচ্ছে আরেক দিবাদসবাই ভালত কবি</v>
      </c>
      <c r="D6" s="2" t="str">
        <f>IFERROR(__xludf.DUMMYFUNCTION("""COMPUTED_VALUE"""),"No")</f>
        <v>No</v>
      </c>
      <c r="E6" s="2" t="str">
        <f>IFERROR(__xludf.DUMMYFUNCTION("""COMPUTED_VALUE"""),"Yes")</f>
        <v>Yes</v>
      </c>
      <c r="F6" s="2" t="str">
        <f>IFERROR(__xludf.DUMMYFUNCTION("""COMPUTED_VALUE"""),"Yes")</f>
        <v>Yes</v>
      </c>
      <c r="G6" s="2">
        <f>IFERROR(__xludf.DUMMYFUNCTION("""COMPUTED_VALUE"""),0.5)</f>
        <v>0.5</v>
      </c>
      <c r="H6" s="2">
        <f>IFERROR(__xludf.DUMMYFUNCTION("""COMPUTED_VALUE"""),1.0)</f>
        <v>1</v>
      </c>
      <c r="I6" s="2">
        <f>IFERROR(__xludf.DUMMYFUNCTION("""COMPUTED_VALUE"""),1.0)</f>
        <v>1</v>
      </c>
      <c r="J6" s="2">
        <f>IFERROR(__xludf.DUMMYFUNCTION("""COMPUTED_VALUE"""),0.5)</f>
        <v>0.5</v>
      </c>
      <c r="K6" s="2" t="str">
        <f>IFERROR(__xludf.DUMMYFUNCTION("""COMPUTED_VALUE"""),"5 – High-quality, Clean Bangla speech")</f>
        <v>5 – High-quality, Clean Bangla speech</v>
      </c>
      <c r="L6" s="2" t="str">
        <f>IFERROR(__xludf.DUMMYFUNCTION("""COMPUTED_VALUE"""),"No")</f>
        <v>No</v>
      </c>
    </row>
    <row r="7">
      <c r="A7" s="2" t="str">
        <f>IFERROR(__xludf.DUMMYFUNCTION("""COMPUTED_VALUE"""),"collect/read/YouTube/Sangsad TV/496k9w8hY2c/4cef76fd-5add-40c0-b067-f36b0d08be21.flac")</f>
        <v>collect/read/YouTube/Sangsad TV/496k9w8hY2c/4cef76fd-5add-40c0-b067-f36b0d08be21.flac</v>
      </c>
      <c r="B7" s="2">
        <f>IFERROR(__xludf.DUMMYFUNCTION("""COMPUTED_VALUE"""),30.0)</f>
        <v>30</v>
      </c>
      <c r="C7" s="2" t="str">
        <f>IFERROR(__xludf.DUMMYFUNCTION("""COMPUTED_VALUE"""),"ন্যায্য কথা বলে আমরা সংখ্যায় বেশি হলেও একজন যদিও সে হয় তার ন্যায্য কথা আমরা মেনে নেব আসুন বসি আমরা আলাপ করে শাসনতন্ত্র তৈরি করি তিনি বললেন পশ্চিম পাকিস্তানের মেম্বাররা যদি এখানে আসে তাহলে কসাইখানা অভাবে অসেম্বলি যদি কেউ অ্যাসেম্বলিতে আসে তাহলে পেশোয়ার থেক"&amp;"ে কাঁচ পর্যন্ত দোকান জোর করে বন্ধ করা হবে তারপরও")</f>
        <v>ন্যায্য কথা বলে আমরা সংখ্যায় বেশি হলেও একজন যদিও সে হয় তার ন্যায্য কথা আমরা মেনে নেব আসুন বসি আমরা আলাপ করে শাসনতন্ত্র তৈরি করি তিনি বললেন পশ্চিম পাকিস্তানের মেম্বাররা যদি এখানে আসে তাহলে কসাইখানা অভাবে অসেম্বলি যদি কেউ অ্যাসেম্বলিতে আসে তাহলে পেশোয়ার থেকে কাঁচ পর্যন্ত দোকান জোর করে বন্ধ করা হবে তারপরও</v>
      </c>
      <c r="D7" s="2" t="str">
        <f>IFERROR(__xludf.DUMMYFUNCTION("""COMPUTED_VALUE"""),"Yes")</f>
        <v>Yes</v>
      </c>
      <c r="E7" s="2" t="str">
        <f>IFERROR(__xludf.DUMMYFUNCTION("""COMPUTED_VALUE"""),"No")</f>
        <v>No</v>
      </c>
      <c r="F7" s="2" t="str">
        <f>IFERROR(__xludf.DUMMYFUNCTION("""COMPUTED_VALUE"""),"Yes")</f>
        <v>Yes</v>
      </c>
      <c r="G7" s="2">
        <f>IFERROR(__xludf.DUMMYFUNCTION("""COMPUTED_VALUE"""),1.0)</f>
        <v>1</v>
      </c>
      <c r="H7" s="2">
        <f>IFERROR(__xludf.DUMMYFUNCTION("""COMPUTED_VALUE"""),0.5)</f>
        <v>0.5</v>
      </c>
      <c r="I7" s="2">
        <f>IFERROR(__xludf.DUMMYFUNCTION("""COMPUTED_VALUE"""),0.5)</f>
        <v>0.5</v>
      </c>
      <c r="J7" s="2">
        <f>IFERROR(__xludf.DUMMYFUNCTION("""COMPUTED_VALUE"""),0.0)</f>
        <v>0</v>
      </c>
      <c r="K7" s="2" t="str">
        <f>IFERROR(__xludf.DUMMYFUNCTION("""COMPUTED_VALUE"""),"4– Usable, minor flaws Minor background noise.")</f>
        <v>4– Usable, minor flaws Minor background noise.</v>
      </c>
      <c r="L7" s="2" t="str">
        <f>IFERROR(__xludf.DUMMYFUNCTION("""COMPUTED_VALUE"""),"No")</f>
        <v>No</v>
      </c>
    </row>
    <row r="8">
      <c r="A8" s="2" t="str">
        <f>IFERROR(__xludf.DUMMYFUNCTION("""COMPUTED_VALUE"""),"collect/read/YouTube/Sangsad TV/496k9w8hY2c/4e7ffc05-7fa2-42ea-bd01-a5070d85cedf.flac")</f>
        <v>collect/read/YouTube/Sangsad TV/496k9w8hY2c/4e7ffc05-7fa2-42ea-bd01-a5070d85cedf.flac</v>
      </c>
      <c r="B8" s="2">
        <f>IFERROR(__xludf.DUMMYFUNCTION("""COMPUTED_VALUE"""),30.0)</f>
        <v>30</v>
      </c>
      <c r="C8" s="2" t="str">
        <f>IFERROR(__xludf.DUMMYFUNCTION("""COMPUTED_VALUE"""),"পাকিস্তানের সংখ্যাগুরু আমরা বাঙালিরা যখনই ক্ষমতায় যাবার চেষ্টা করেছি যখন এদেশের মালিক হবার চেষ্টা করেছি তখনই তারা আমাদের উপর ঝাঁপিয়ে পড়েছেন তারা আমাদের পায় আমি বলেছি তাদের কাছে এ কথা যে আপনারা কেন তি মারবেন সটে রাখা হয়েছে যদি বহিঃসত্র আক্রমণ করে তা থেকে র"&amp;"েস্তকে রক্ষা করার জন্য তারপরে উনি বললেন যে আমার নামে বলেছেন আমি নাকি")</f>
        <v>পাকিস্তানের সংখ্যাগুরু আমরা বাঙালিরা যখনই ক্ষমতায় যাবার চেষ্টা করেছি যখন এদেশের মালিক হবার চেষ্টা করেছি তখনই তারা আমাদের উপর ঝাঁপিয়ে পড়েছেন তারা আমাদের পায় আমি বলেছি তাদের কাছে এ কথা যে আপনারা কেন তি মারবেন সটে রাখা হয়েছে যদি বহিঃসত্র আক্রমণ করে তা থেকে রেস্তকে রক্ষা করার জন্য তারপরে উনি বললেন যে আমার নামে বলেছেন আমি নাকি</v>
      </c>
      <c r="D8" s="2" t="str">
        <f>IFERROR(__xludf.DUMMYFUNCTION("""COMPUTED_VALUE"""),"No")</f>
        <v>No</v>
      </c>
      <c r="E8" s="2" t="str">
        <f>IFERROR(__xludf.DUMMYFUNCTION("""COMPUTED_VALUE"""),"Yes")</f>
        <v>Yes</v>
      </c>
      <c r="F8" s="2" t="str">
        <f>IFERROR(__xludf.DUMMYFUNCTION("""COMPUTED_VALUE"""),"Yes")</f>
        <v>Yes</v>
      </c>
      <c r="G8" s="2">
        <f>IFERROR(__xludf.DUMMYFUNCTION("""COMPUTED_VALUE"""),0.5)</f>
        <v>0.5</v>
      </c>
      <c r="H8" s="2">
        <f>IFERROR(__xludf.DUMMYFUNCTION("""COMPUTED_VALUE"""),0.5)</f>
        <v>0.5</v>
      </c>
      <c r="I8" s="2">
        <f>IFERROR(__xludf.DUMMYFUNCTION("""COMPUTED_VALUE"""),0.5)</f>
        <v>0.5</v>
      </c>
      <c r="J8" s="2">
        <f>IFERROR(__xludf.DUMMYFUNCTION("""COMPUTED_VALUE"""),0.0)</f>
        <v>0</v>
      </c>
      <c r="K8" s="2" t="str">
        <f>IFERROR(__xludf.DUMMYFUNCTION("""COMPUTED_VALUE"""),"3 – Mixed language or inconsistent quality")</f>
        <v>3 – Mixed language or inconsistent quality</v>
      </c>
      <c r="L8" s="2" t="str">
        <f>IFERROR(__xludf.DUMMYFUNCTION("""COMPUTED_VALUE"""),"No")</f>
        <v>No</v>
      </c>
    </row>
    <row r="9">
      <c r="A9" s="2" t="str">
        <f>IFERROR(__xludf.DUMMYFUNCTION("""COMPUTED_VALUE"""),"collect/read/YouTube/Sangsad TV/496k9w8hY2c/51b45c0c-5206-4aeb-bfec-df1692a5eac5.flac")</f>
        <v>collect/read/YouTube/Sangsad TV/496k9w8hY2c/51b45c0c-5206-4aeb-bfec-df1692a5eac5.flac</v>
      </c>
      <c r="B9" s="2">
        <f>IFERROR(__xludf.DUMMYFUNCTION("""COMPUTED_VALUE"""),30.0)</f>
        <v>30</v>
      </c>
      <c r="C9" s="2" t="str">
        <f>IFERROR(__xludf.DUMMYFUNCTION("""COMPUTED_VALUE"""),"তিন পের ভাই দেশকে একেবারে জাহান্নামে ধ্বংস করে দিয়েন না জীবনে আর কোনদিন আপনাদের মুখ দেখাদেখি হবে না যদি আমরা শান্তিপূর্ণভাবে আমাদের ফয়সালা করতে পারি তাহলে অন্তপক্ষে ভাই ভাই হিসেবে বাস করার সম্ভাবনা আছে সেইজন্য আপনাদের অনুরোধ করছি আমার এই দেশে আপনার ম")</f>
        <v>তিন পের ভাই দেশকে একেবারে জাহান্নামে ধ্বংস করে দিয়েন না জীবনে আর কোনদিন আপনাদের মুখ দেখাদেখি হবে না যদি আমরা শান্তিপূর্ণভাবে আমাদের ফয়সালা করতে পারি তাহলে অন্তপক্ষে ভাই ভাই হিসেবে বাস করার সম্ভাবনা আছে সেইজন্য আপনাদের অনুরোধ করছি আমার এই দেশে আপনার ম</v>
      </c>
      <c r="D9" s="2" t="str">
        <f>IFERROR(__xludf.DUMMYFUNCTION("""COMPUTED_VALUE"""),"No")</f>
        <v>No</v>
      </c>
      <c r="E9" s="2" t="str">
        <f>IFERROR(__xludf.DUMMYFUNCTION("""COMPUTED_VALUE"""),"Yes")</f>
        <v>Yes</v>
      </c>
      <c r="F9" s="2" t="str">
        <f>IFERROR(__xludf.DUMMYFUNCTION("""COMPUTED_VALUE"""),"Yes")</f>
        <v>Yes</v>
      </c>
      <c r="G9" s="2">
        <f>IFERROR(__xludf.DUMMYFUNCTION("""COMPUTED_VALUE"""),0.5)</f>
        <v>0.5</v>
      </c>
      <c r="H9" s="2">
        <f>IFERROR(__xludf.DUMMYFUNCTION("""COMPUTED_VALUE"""),0.5)</f>
        <v>0.5</v>
      </c>
      <c r="I9" s="2">
        <f>IFERROR(__xludf.DUMMYFUNCTION("""COMPUTED_VALUE"""),0.5)</f>
        <v>0.5</v>
      </c>
      <c r="J9" s="2">
        <f>IFERROR(__xludf.DUMMYFUNCTION("""COMPUTED_VALUE"""),0.0)</f>
        <v>0</v>
      </c>
      <c r="K9" s="2" t="str">
        <f>IFERROR(__xludf.DUMMYFUNCTION("""COMPUTED_VALUE"""),"3 – Mixed language or inconsistent quality")</f>
        <v>3 – Mixed language or inconsistent quality</v>
      </c>
      <c r="L9" s="2" t="str">
        <f>IFERROR(__xludf.DUMMYFUNCTION("""COMPUTED_VALUE"""),"No")</f>
        <v>No</v>
      </c>
    </row>
    <row r="10">
      <c r="A10" s="2" t="str">
        <f>IFERROR(__xludf.DUMMYFUNCTION("""COMPUTED_VALUE"""),"collect/read/YouTube/Sangsad TV/496k9w8hY2c/80c82ffd-0437-47a5-8b5a-6ae3e3889fb6.flac")</f>
        <v>collect/read/YouTube/Sangsad TV/496k9w8hY2c/80c82ffd-0437-47a5-8b5a-6ae3e3889fb6.flac</v>
      </c>
      <c r="B10" s="2">
        <f>IFERROR(__xludf.DUMMYFUNCTION("""COMPUTED_VALUE"""),30.0)</f>
        <v>30</v>
      </c>
      <c r="C10" s="2" t="str">
        <f>IFERROR(__xludf.DUMMYFUNCTION("""COMPUTED_VALUE"""),"ঠিক করে মানুষকে হত্যা করা হয়েছে পনি আসুন দেখুন বিচার করুন তারপরে আপনি ঠিক করুন আমি এই কথা বলেছিলাম হঠাৎ আমার সঙ্গে পরামর্শ না করে আমাদের সঙ্গে আলোচনা না করে পাঁচ ঘণ্টা গোপনে বৈঠক করে যে বক্তৃতা তিনি করেছেন এবং যে বক্তৃতা করে অ্যাসেম্বলি করেছেন সমস্ত দোষ ত"&amp;"িনি আমার উপরে দিয়েছেন বাংলার মানুষের উপরে দিয়েছেন")</f>
        <v>ঠিক করে মানুষকে হত্যা করা হয়েছে পনি আসুন দেখুন বিচার করুন তারপরে আপনি ঠিক করুন আমি এই কথা বলেছিলাম হঠাৎ আমার সঙ্গে পরামর্শ না করে আমাদের সঙ্গে আলোচনা না করে পাঁচ ঘণ্টা গোপনে বৈঠক করে যে বক্তৃতা তিনি করেছেন এবং যে বক্তৃতা করে অ্যাসেম্বলি করেছেন সমস্ত দোষ তিনি আমার উপরে দিয়েছেন বাংলার মানুষের উপরে দিয়েছেন</v>
      </c>
      <c r="D10" s="2" t="str">
        <f>IFERROR(__xludf.DUMMYFUNCTION("""COMPUTED_VALUE"""),"Yes")</f>
        <v>Yes</v>
      </c>
      <c r="E10" s="2" t="str">
        <f>IFERROR(__xludf.DUMMYFUNCTION("""COMPUTED_VALUE"""),"Yes")</f>
        <v>Yes</v>
      </c>
      <c r="F10" s="2" t="str">
        <f>IFERROR(__xludf.DUMMYFUNCTION("""COMPUTED_VALUE"""),"Yes")</f>
        <v>Yes</v>
      </c>
      <c r="G10" s="2">
        <f>IFERROR(__xludf.DUMMYFUNCTION("""COMPUTED_VALUE"""),0.5)</f>
        <v>0.5</v>
      </c>
      <c r="H10" s="2">
        <f>IFERROR(__xludf.DUMMYFUNCTION("""COMPUTED_VALUE"""),0.5)</f>
        <v>0.5</v>
      </c>
      <c r="I10" s="2">
        <f>IFERROR(__xludf.DUMMYFUNCTION("""COMPUTED_VALUE"""),1.0)</f>
        <v>1</v>
      </c>
      <c r="J10" s="2">
        <f>IFERROR(__xludf.DUMMYFUNCTION("""COMPUTED_VALUE"""),0.5)</f>
        <v>0.5</v>
      </c>
      <c r="K10" s="2" t="str">
        <f>IFERROR(__xludf.DUMMYFUNCTION("""COMPUTED_VALUE"""),"3 – Mixed language or inconsistent quality")</f>
        <v>3 – Mixed language or inconsistent quality</v>
      </c>
      <c r="L10" s="2" t="str">
        <f>IFERROR(__xludf.DUMMYFUNCTION("""COMPUTED_VALUE"""),"No")</f>
        <v>No</v>
      </c>
    </row>
    <row r="11">
      <c r="A11" s="2" t="str">
        <f>IFERROR(__xludf.DUMMYFUNCTION("""COMPUTED_VALUE"""),"collect/read/YouTube/Sangsad TV/496k9w8hY2c/af227623-943b-40c6-8f8e-3a1dcd9eedb4.flac")</f>
        <v>collect/read/YouTube/Sangsad TV/496k9w8hY2c/af227623-943b-40c6-8f8e-3a1dcd9eedb4.flac</v>
      </c>
      <c r="B11" s="2">
        <f>IFERROR(__xludf.DUMMYFUNCTION("""COMPUTED_VALUE"""),30.0)</f>
        <v>30</v>
      </c>
      <c r="C11" s="2" t="str">
        <f>IFERROR(__xludf.DUMMYFUNCTION("""COMPUTED_VALUE"""),"পর্যন্তু আমাদের গোলাম করে রেখেছে উনিশশো ষষট্টি সালে ছয় দফা আন্দোলনের সাতই জুনে আমার ছেলেদের গুলি করে হতা করা হয়েছে উনিশশো নষষ্টে আন্দোলনের আইয়ুব খানের পতন হওয়ার পরে যখন নাহিয়া খান সাহেব সরকরা নিলেন তিনি বললেন দেশের শাসনতন্ত্র দেবেন গণতন্ত্র দেবেন আমরা মেন"&amp;"ে নিলাম তারপরে অনেক ইতিহাস হয়ে")</f>
        <v>পর্যন্তু আমাদের গোলাম করে রেখেছে উনিশশো ষষট্টি সালে ছয় দফা আন্দোলনের সাতই জুনে আমার ছেলেদের গুলি করে হতা করা হয়েছে উনিশশো নষষ্টে আন্দোলনের আইয়ুব খানের পতন হওয়ার পরে যখন নাহিয়া খান সাহেব সরকরা নিলেন তিনি বললেন দেশের শাসনতন্ত্র দেবেন গণতন্ত্র দেবেন আমরা মেনে নিলাম তারপরে অনেক ইতিহাস হয়ে</v>
      </c>
      <c r="D11" s="2" t="str">
        <f>IFERROR(__xludf.DUMMYFUNCTION("""COMPUTED_VALUE"""),"Yes")</f>
        <v>Yes</v>
      </c>
      <c r="E11" s="2" t="str">
        <f>IFERROR(__xludf.DUMMYFUNCTION("""COMPUTED_VALUE"""),"Yes")</f>
        <v>Yes</v>
      </c>
      <c r="F11" s="2" t="str">
        <f>IFERROR(__xludf.DUMMYFUNCTION("""COMPUTED_VALUE"""),"Yes")</f>
        <v>Yes</v>
      </c>
      <c r="G11" s="2">
        <f>IFERROR(__xludf.DUMMYFUNCTION("""COMPUTED_VALUE"""),0.5)</f>
        <v>0.5</v>
      </c>
      <c r="H11" s="2">
        <f>IFERROR(__xludf.DUMMYFUNCTION("""COMPUTED_VALUE"""),0.5)</f>
        <v>0.5</v>
      </c>
      <c r="I11" s="2">
        <f>IFERROR(__xludf.DUMMYFUNCTION("""COMPUTED_VALUE"""),0.5)</f>
        <v>0.5</v>
      </c>
      <c r="J11" s="2">
        <f>IFERROR(__xludf.DUMMYFUNCTION("""COMPUTED_VALUE"""),0.5)</f>
        <v>0.5</v>
      </c>
      <c r="K11" s="2" t="str">
        <f>IFERROR(__xludf.DUMMYFUNCTION("""COMPUTED_VALUE"""),"3 – Mixed language or inconsistent quality")</f>
        <v>3 – Mixed language or inconsistent quality</v>
      </c>
      <c r="L11" s="2" t="str">
        <f>IFERROR(__xludf.DUMMYFUNCTION("""COMPUTED_VALUE"""),"No")</f>
        <v>No</v>
      </c>
    </row>
    <row r="12">
      <c r="A12" s="2" t="str">
        <f>IFERROR(__xludf.DUMMYFUNCTION("""COMPUTED_VALUE"""),"collect/read/YouTube/Sangsad TV/496k9w8hY2c/bc6fbe26-3d5e-4840-958e-9d5efaae0a67.flac")</f>
        <v>collect/read/YouTube/Sangsad TV/496k9w8hY2c/bc6fbe26-3d5e-4840-958e-9d5efaae0a67.flac</v>
      </c>
      <c r="B12" s="2">
        <f>IFERROR(__xludf.DUMMYFUNCTION("""COMPUTED_VALUE"""),30.0)</f>
        <v>30</v>
      </c>
      <c r="C12" s="2" t="str">
        <f>IFERROR(__xludf.DUMMYFUNCTION("""COMPUTED_VALUE"""),"িশাসন চালাবার চেষ্টা আর করবেন না দ্বিতীয় কথা প্রত্যেক গ্রামে প্রত্যেক মহল্লায় প্রত্যেক ইউনিয়নে প্রত্যেক সাবডিভিশনে আওয়ামী লীগের নেতৃত্বে সংগ্রাম পরিষদ গড়ে তোলো এবং তোমাদের যা কিছু আছে তা এ নিয়ে প্রস্তুত থাকো মনে রাঙবা তো যখন দিয়েছি রক্ত আরো দেবো এ দেশের ম"&amp;"ানুষকে মুক্ত করে ছাড়ব ইনশাল্লাহ")</f>
        <v>িশাসন চালাবার চেষ্টা আর করবেন না দ্বিতীয় কথা প্রত্যেক গ্রামে প্রত্যেক মহল্লায় প্রত্যেক ইউনিয়নে প্রত্যেক সাবডিভিশনে আওয়ামী লীগের নেতৃত্বে সংগ্রাম পরিষদ গড়ে তোলো এবং তোমাদের যা কিছু আছে তা এ নিয়ে প্রস্তুত থাকো মনে রাঙবা তো যখন দিয়েছি রক্ত আরো দেবো এ দেশের মানুষকে মুক্ত করে ছাড়ব ইনশাল্লাহ</v>
      </c>
      <c r="D12" s="2" t="str">
        <f>IFERROR(__xludf.DUMMYFUNCTION("""COMPUTED_VALUE"""),"Yes")</f>
        <v>Yes</v>
      </c>
      <c r="E12" s="2" t="str">
        <f>IFERROR(__xludf.DUMMYFUNCTION("""COMPUTED_VALUE"""),"No")</f>
        <v>No</v>
      </c>
      <c r="F12" s="2" t="str">
        <f>IFERROR(__xludf.DUMMYFUNCTION("""COMPUTED_VALUE"""),"Yes")</f>
        <v>Yes</v>
      </c>
      <c r="G12" s="2">
        <f>IFERROR(__xludf.DUMMYFUNCTION("""COMPUTED_VALUE"""),1.0)</f>
        <v>1</v>
      </c>
      <c r="H12" s="2">
        <f>IFERROR(__xludf.DUMMYFUNCTION("""COMPUTED_VALUE"""),0.5)</f>
        <v>0.5</v>
      </c>
      <c r="I12" s="2">
        <f>IFERROR(__xludf.DUMMYFUNCTION("""COMPUTED_VALUE"""),1.0)</f>
        <v>1</v>
      </c>
      <c r="J12" s="2">
        <f>IFERROR(__xludf.DUMMYFUNCTION("""COMPUTED_VALUE"""),0.5)</f>
        <v>0.5</v>
      </c>
      <c r="K12" s="2" t="str">
        <f>IFERROR(__xludf.DUMMYFUNCTION("""COMPUTED_VALUE"""),"3 – Mixed language or inconsistent quality")</f>
        <v>3 – Mixed language or inconsistent quality</v>
      </c>
      <c r="L12" s="2" t="str">
        <f>IFERROR(__xludf.DUMMYFUNCTION("""COMPUTED_VALUE"""),"No")</f>
        <v>No</v>
      </c>
    </row>
    <row r="13">
      <c r="A13" s="2" t="str">
        <f>IFERROR(__xludf.DUMMYFUNCTION("""COMPUTED_VALUE"""),"collect/read/YouTube/Sangsad TV/496k9w8hY2c/bed2b9da-c5cf-4ec5-8af6-732882e75644.flac")</f>
        <v>collect/read/YouTube/Sangsad TV/496k9w8hY2c/bed2b9da-c5cf-4ec5-8af6-732882e75644.flac</v>
      </c>
      <c r="B13" s="2">
        <f>IFERROR(__xludf.DUMMYFUNCTION("""COMPUTED_VALUE"""),30.0)</f>
        <v>30</v>
      </c>
      <c r="C13" s="2" t="str">
        <f>IFERROR(__xludf.DUMMYFUNCTION("""COMPUTED_VALUE"""),"বাংলা পাচারের বাংলার মানুষের রক্তের ইতিহাস তেইশ বছরের ইতিহাস উনিষ্শ নর নারীরা তুমি আমাদের ইতিহাস বাংলার ইতিহাস এদেশের মানুষের রক্ত দিয়ে রাজপথ রঞ্জিত করার ইতিহাস উনিশশ বায়ান্ন সালে রক্ত দিয়েছি উনিশশ চুয়ান্ন সালে নির্বাচনে জয় লাভ করেও আমরা গতিতে বসতে পারি ন"&amp;"াই উনিশশ আটান্ন সালে আইয়ুব খান মার্শল্ল জারি করে দশ বৎছর")</f>
        <v>বাংলা পাচারের বাংলার মানুষের রক্তের ইতিহাস তেইশ বছরের ইতিহাস উনিষ্শ নর নারীরা তুমি আমাদের ইতিহাস বাংলার ইতিহাস এদেশের মানুষের রক্ত দিয়ে রাজপথ রঞ্জিত করার ইতিহাস উনিশশ বায়ান্ন সালে রক্ত দিয়েছি উনিশশ চুয়ান্ন সালে নির্বাচনে জয় লাভ করেও আমরা গতিতে বসতে পারি নাই উনিশশ আটান্ন সালে আইয়ুব খান মার্শল্ল জারি করে দশ বৎছর</v>
      </c>
      <c r="D13" s="2" t="str">
        <f>IFERROR(__xludf.DUMMYFUNCTION("""COMPUTED_VALUE"""),"No")</f>
        <v>No</v>
      </c>
      <c r="E13" s="2" t="str">
        <f>IFERROR(__xludf.DUMMYFUNCTION("""COMPUTED_VALUE"""),"Yes")</f>
        <v>Yes</v>
      </c>
      <c r="F13" s="2" t="str">
        <f>IFERROR(__xludf.DUMMYFUNCTION("""COMPUTED_VALUE"""),"Yes")</f>
        <v>Yes</v>
      </c>
      <c r="G13" s="2">
        <f>IFERROR(__xludf.DUMMYFUNCTION("""COMPUTED_VALUE"""),0.5)</f>
        <v>0.5</v>
      </c>
      <c r="H13" s="2">
        <f>IFERROR(__xludf.DUMMYFUNCTION("""COMPUTED_VALUE"""),0.5)</f>
        <v>0.5</v>
      </c>
      <c r="I13" s="2">
        <f>IFERROR(__xludf.DUMMYFUNCTION("""COMPUTED_VALUE"""),0.5)</f>
        <v>0.5</v>
      </c>
      <c r="J13" s="2">
        <f>IFERROR(__xludf.DUMMYFUNCTION("""COMPUTED_VALUE"""),0.0)</f>
        <v>0</v>
      </c>
      <c r="K13" s="2" t="str">
        <f>IFERROR(__xludf.DUMMYFUNCTION("""COMPUTED_VALUE"""),"3 – Mixed language or inconsistent quality")</f>
        <v>3 – Mixed language or inconsistent quality</v>
      </c>
      <c r="L13" s="2" t="str">
        <f>IFERROR(__xludf.DUMMYFUNCTION("""COMPUTED_VALUE"""),"No")</f>
        <v>No</v>
      </c>
    </row>
    <row r="14">
      <c r="A14" s="2" t="str">
        <f>IFERROR(__xludf.DUMMYFUNCTION("""COMPUTED_VALUE"""),"collect/read/YouTube/Sangsad TV/496k9w8hY2c/d13d69e7-f051-4141-a241-af826126d507.flac")</f>
        <v>collect/read/YouTube/Sangsad TV/496k9w8hY2c/d13d69e7-f051-4141-a241-af826126d507.flac</v>
      </c>
      <c r="B14" s="2">
        <f>IFERROR(__xludf.DUMMYFUNCTION("""COMPUTED_VALUE"""),30.0)</f>
        <v>30</v>
      </c>
      <c r="C14" s="2" t="str">
        <f>IFERROR(__xludf.DUMMYFUNCTION("""COMPUTED_VALUE"""),"মাসে তাকে ছন্নাচার করা হবে আমি বললাম অ্যাসেম্বলি চলবে তারপরে হরা আপানাকে অ্যাসেম্বলি বন্ধ করে দেওয়া হলো কি পেলাম আমরা যামার পয়সা দিয়ে অস্ত্র কিনেছি ঐ সুত্র আক্রমণ থেকে দেশকে রক্ষা করার জন্য আজ সেই অস্ত্র ব্যবহার হচ্ছে আমার দেশের গরিব দক্ষিণী মানুষের বিরুদ"&amp;"্ধে তার বুকের উপর হচ্ছে গুলি আমরা পাকিস্তানের সংখ্যাগুরু")</f>
        <v>মাসে তাকে ছন্নাচার করা হবে আমি বললাম অ্যাসেম্বলি চলবে তারপরে হরা আপানাকে অ্যাসেম্বলি বন্ধ করে দেওয়া হলো কি পেলাম আমরা যামার পয়সা দিয়ে অস্ত্র কিনেছি ঐ সুত্র আক্রমণ থেকে দেশকে রক্ষা করার জন্য আজ সেই অস্ত্র ব্যবহার হচ্ছে আমার দেশের গরিব দক্ষিণী মানুষের বিরুদ্ধে তার বুকের উপর হচ্ছে গুলি আমরা পাকিস্তানের সংখ্যাগুরু</v>
      </c>
      <c r="D14" s="2" t="str">
        <f>IFERROR(__xludf.DUMMYFUNCTION("""COMPUTED_VALUE"""),"Yes")</f>
        <v>Yes</v>
      </c>
      <c r="E14" s="2" t="str">
        <f>IFERROR(__xludf.DUMMYFUNCTION("""COMPUTED_VALUE"""),"Yes")</f>
        <v>Yes</v>
      </c>
      <c r="F14" s="2"/>
      <c r="G14" s="2">
        <f>IFERROR(__xludf.DUMMYFUNCTION("""COMPUTED_VALUE"""),0.0)</f>
        <v>0</v>
      </c>
      <c r="H14" s="2">
        <f>IFERROR(__xludf.DUMMYFUNCTION("""COMPUTED_VALUE"""),0.5)</f>
        <v>0.5</v>
      </c>
      <c r="I14" s="2">
        <f>IFERROR(__xludf.DUMMYFUNCTION("""COMPUTED_VALUE"""),0.5)</f>
        <v>0.5</v>
      </c>
      <c r="J14" s="2">
        <f>IFERROR(__xludf.DUMMYFUNCTION("""COMPUTED_VALUE"""),0.0)</f>
        <v>0</v>
      </c>
      <c r="K14" s="2" t="str">
        <f>IFERROR(__xludf.DUMMYFUNCTION("""COMPUTED_VALUE"""),"3 – Mixed language or inconsistent quality")</f>
        <v>3 – Mixed language or inconsistent quality</v>
      </c>
      <c r="L14" s="2" t="str">
        <f>IFERROR(__xludf.DUMMYFUNCTION("""COMPUTED_VALUE"""),"No")</f>
        <v>No</v>
      </c>
    </row>
    <row r="15">
      <c r="A15" s="2" t="str">
        <f>IFERROR(__xludf.DUMMYFUNCTION("""COMPUTED_VALUE"""),"collect/read/YouTube/Sangsad TV/496k9w8hY2c/f5731e80-5c33-4429-8cea-0bdd0485effc.flac")</f>
        <v>collect/read/YouTube/Sangsad TV/496k9w8hY2c/f5731e80-5c33-4429-8cea-0bdd0485effc.flac</v>
      </c>
      <c r="B15" s="2">
        <f>IFERROR(__xludf.DUMMYFUNCTION("""COMPUTED_VALUE"""),30.0)</f>
        <v>30</v>
      </c>
      <c r="C15" s="2" t="str">
        <f>IFERROR(__xludf.DUMMYFUNCTION("""COMPUTED_VALUE"""),"স্বাধীন মানবৎ জাতির পিতা এ মুজিবের পথ ধরো মুজিব রায় বসে গেছেন কেমরা চোলা দিয়ে কনিবদন্তের সে মজেবের পর ধর বাংলো সাদিন করো মজে বার পর ধরো বাংলাশে াদিনকর বাসের বাখে তৈরি কারো বাংলাশ স্বাধীন কক")</f>
        <v>স্বাধীন মানবৎ জাতির পিতা এ মুজিবের পথ ধরো মুজিব রায় বসে গেছেন কেমরা চোলা দিয়ে কনিবদন্তের সে মজেবের পর ধর বাংলো সাদিন করো মজে বার পর ধরো বাংলাশে াদিনকর বাসের বাখে তৈরি কারো বাংলাশ স্বাধীন কক</v>
      </c>
      <c r="D15" s="2" t="str">
        <f>IFERROR(__xludf.DUMMYFUNCTION("""COMPUTED_VALUE"""),"No")</f>
        <v>No</v>
      </c>
      <c r="E15" s="2" t="str">
        <f>IFERROR(__xludf.DUMMYFUNCTION("""COMPUTED_VALUE"""),"Yes")</f>
        <v>Yes</v>
      </c>
      <c r="F15" s="2" t="str">
        <f>IFERROR(__xludf.DUMMYFUNCTION("""COMPUTED_VALUE"""),"Yes")</f>
        <v>Yes</v>
      </c>
      <c r="G15" s="2">
        <f>IFERROR(__xludf.DUMMYFUNCTION("""COMPUTED_VALUE"""),0.5)</f>
        <v>0.5</v>
      </c>
      <c r="H15" s="2">
        <f>IFERROR(__xludf.DUMMYFUNCTION("""COMPUTED_VALUE"""),0.5)</f>
        <v>0.5</v>
      </c>
      <c r="I15" s="2">
        <f>IFERROR(__xludf.DUMMYFUNCTION("""COMPUTED_VALUE"""),0.0)</f>
        <v>0</v>
      </c>
      <c r="J15" s="2">
        <f>IFERROR(__xludf.DUMMYFUNCTION("""COMPUTED_VALUE"""),0.0)</f>
        <v>0</v>
      </c>
      <c r="K15" s="2" t="str">
        <f>IFERROR(__xludf.DUMMYFUNCTION("""COMPUTED_VALUE"""),"3 – Mixed language or inconsistent quality")</f>
        <v>3 – Mixed language or inconsistent quality</v>
      </c>
      <c r="L15" s="2" t="str">
        <f>IFERROR(__xludf.DUMMYFUNCTION("""COMPUTED_VALUE"""),"No")</f>
        <v>No</v>
      </c>
    </row>
    <row r="16">
      <c r="A16" s="2" t="str">
        <f>IFERROR(__xludf.DUMMYFUNCTION("""COMPUTED_VALUE"""),"collect/read/YouTube/Sangsad TV/EvY8TRNnIGo/07453603-0837-4c17-8b4e-8782c7a904d5.flac")</f>
        <v>collect/read/YouTube/Sangsad TV/EvY8TRNnIGo/07453603-0837-4c17-8b4e-8782c7a904d5.flac</v>
      </c>
      <c r="B16" s="2">
        <f>IFERROR(__xludf.DUMMYFUNCTION("""COMPUTED_VALUE"""),30.0)</f>
        <v>30</v>
      </c>
      <c r="C16" s="2" t="str">
        <f>IFERROR(__xludf.DUMMYFUNCTION("""COMPUTED_VALUE"""),"মাস্ক তৈরিও ব্যবহারের সঠিক নিয়ম এবং হাঁচি কাশির শিষ্টাচার নিয়ে তৈরি হচ্ছে পোস্টার ও লিফলেট শুধু স্বাস্থ্যসম্মত পরিবেশ নয় স্কুল তৈরি হচ্ছে তোমাদের শেখার পরিবেশকে আরো আনন্দময় ও নিরাপদ করতে সামাজিক দূরত্ব মেনে চলাচলের জন্য প্রবেশপথ করিডোর ও খেলার মাঠে তিন ফু"&amp;"ট দূরত্বে আঁকা হচ্ছে বৃত্তাকার চিহ্ন শ্রেণিকক্ষে ব্যঞ্জও সাজানো")</f>
        <v>মাস্ক তৈরিও ব্যবহারের সঠিক নিয়ম এবং হাঁচি কাশির শিষ্টাচার নিয়ে তৈরি হচ্ছে পোস্টার ও লিফলেট শুধু স্বাস্থ্যসম্মত পরিবেশ নয় স্কুল তৈরি হচ্ছে তোমাদের শেখার পরিবেশকে আরো আনন্দময় ও নিরাপদ করতে সামাজিক দূরত্ব মেনে চলাচলের জন্য প্রবেশপথ করিডোর ও খেলার মাঠে তিন ফুট দূরত্বে আঁকা হচ্ছে বৃত্তাকার চিহ্ন শ্রেণিকক্ষে ব্যঞ্জও সাজানো</v>
      </c>
      <c r="D16" s="2" t="str">
        <f>IFERROR(__xludf.DUMMYFUNCTION("""COMPUTED_VALUE"""),"Yes")</f>
        <v>Yes</v>
      </c>
      <c r="E16" s="2" t="str">
        <f>IFERROR(__xludf.DUMMYFUNCTION("""COMPUTED_VALUE"""),"No")</f>
        <v>No</v>
      </c>
      <c r="F16" s="2" t="str">
        <f>IFERROR(__xludf.DUMMYFUNCTION("""COMPUTED_VALUE"""),"Yes")</f>
        <v>Yes</v>
      </c>
      <c r="G16" s="2">
        <f>IFERROR(__xludf.DUMMYFUNCTION("""COMPUTED_VALUE"""),1.0)</f>
        <v>1</v>
      </c>
      <c r="H16" s="2">
        <f>IFERROR(__xludf.DUMMYFUNCTION("""COMPUTED_VALUE"""),1.0)</f>
        <v>1</v>
      </c>
      <c r="I16" s="2">
        <f>IFERROR(__xludf.DUMMYFUNCTION("""COMPUTED_VALUE"""),0.5)</f>
        <v>0.5</v>
      </c>
      <c r="J16" s="2">
        <f>IFERROR(__xludf.DUMMYFUNCTION("""COMPUTED_VALUE"""),0.5)</f>
        <v>0.5</v>
      </c>
      <c r="K16" s="2" t="str">
        <f>IFERROR(__xludf.DUMMYFUNCTION("""COMPUTED_VALUE"""),"5 – High-quality, Clean Bangla speech")</f>
        <v>5 – High-quality, Clean Bangla speech</v>
      </c>
      <c r="L16" s="2" t="str">
        <f>IFERROR(__xludf.DUMMYFUNCTION("""COMPUTED_VALUE"""),"No")</f>
        <v>No</v>
      </c>
    </row>
    <row r="17">
      <c r="A17" s="2" t="str">
        <f>IFERROR(__xludf.DUMMYFUNCTION("""COMPUTED_VALUE"""),"collect/read/YouTube/Sangsad TV/EvY8TRNnIGo/962286a7-a909-4120-9f0c-3652980ce33c.flac")</f>
        <v>collect/read/YouTube/Sangsad TV/EvY8TRNnIGo/962286a7-a909-4120-9f0c-3652980ce33c.flac</v>
      </c>
      <c r="B17" s="2">
        <f>IFERROR(__xludf.DUMMYFUNCTION("""COMPUTED_VALUE"""),30.0)</f>
        <v>30</v>
      </c>
      <c r="C17" s="2" t="str">
        <f>IFERROR(__xludf.DUMMYFUNCTION("""COMPUTED_VALUE"""),"আমরা জানি স্কুলে না আসতে পারার কারণে তোমাদের মন খারাপের কথা অনেকদিন প্রিয় বন্ধু বা শিক্ষককে না দেখতে পারার কষ্টের কথা আমরা স্কুলকে নতুনরূপে সাজিয়ে তুলছি সঙ্গে থাকছে খেলাধুলা শরীরচর্চা শারীরিক ও মানসিক স্বাস্থ্য এবং পুষ্টি শিক্ষা কার্যক্রম সাংস্কৃতিক অনুষ্"&amp;"ঠানসহ আর মজার মজার সব পরিকল্পনা তোমাদের নতুন করে বরণ করতে প্রস্তুত হচ্ছে")</f>
        <v>আমরা জানি স্কুলে না আসতে পারার কারণে তোমাদের মন খারাপের কথা অনেকদিন প্রিয় বন্ধু বা শিক্ষককে না দেখতে পারার কষ্টের কথা আমরা স্কুলকে নতুনরূপে সাজিয়ে তুলছি সঙ্গে থাকছে খেলাধুলা শরীরচর্চা শারীরিক ও মানসিক স্বাস্থ্য এবং পুষ্টি শিক্ষা কার্যক্রম সাংস্কৃতিক অনুষ্ঠানসহ আর মজার মজার সব পরিকল্পনা তোমাদের নতুন করে বরণ করতে প্রস্তুত হচ্ছে</v>
      </c>
      <c r="D17" s="2" t="str">
        <f>IFERROR(__xludf.DUMMYFUNCTION("""COMPUTED_VALUE"""),"Yes")</f>
        <v>Yes</v>
      </c>
      <c r="E17" s="2" t="str">
        <f>IFERROR(__xludf.DUMMYFUNCTION("""COMPUTED_VALUE"""),"No")</f>
        <v>No</v>
      </c>
      <c r="F17" s="2" t="str">
        <f>IFERROR(__xludf.DUMMYFUNCTION("""COMPUTED_VALUE"""),"No")</f>
        <v>No</v>
      </c>
      <c r="G17" s="2">
        <f>IFERROR(__xludf.DUMMYFUNCTION("""COMPUTED_VALUE"""),1.0)</f>
        <v>1</v>
      </c>
      <c r="H17" s="2">
        <f>IFERROR(__xludf.DUMMYFUNCTION("""COMPUTED_VALUE"""),1.0)</f>
        <v>1</v>
      </c>
      <c r="I17" s="2">
        <f>IFERROR(__xludf.DUMMYFUNCTION("""COMPUTED_VALUE"""),1.0)</f>
        <v>1</v>
      </c>
      <c r="J17" s="2">
        <f>IFERROR(__xludf.DUMMYFUNCTION("""COMPUTED_VALUE"""),0.5)</f>
        <v>0.5</v>
      </c>
      <c r="K17" s="2" t="str">
        <f>IFERROR(__xludf.DUMMYFUNCTION("""COMPUTED_VALUE"""),"5 – High-quality, Clean Bangla speech")</f>
        <v>5 – High-quality, Clean Bangla speech</v>
      </c>
      <c r="L17" s="2" t="str">
        <f>IFERROR(__xludf.DUMMYFUNCTION("""COMPUTED_VALUE"""),"No")</f>
        <v>No</v>
      </c>
    </row>
    <row r="18">
      <c r="A18" s="2" t="str">
        <f>IFERROR(__xludf.DUMMYFUNCTION("""COMPUTED_VALUE"""),"collect/read/YouTube/Sangsad TV/Kb5Ewq2Q280/163cf741-8c62-42b0-9574-debe22c3f2b5.flac")</f>
        <v>collect/read/YouTube/Sangsad TV/Kb5Ewq2Q280/163cf741-8c62-42b0-9574-debe22c3f2b5.flac</v>
      </c>
      <c r="B18" s="2">
        <f>IFERROR(__xludf.DUMMYFUNCTION("""COMPUTED_VALUE"""),30.0)</f>
        <v>30</v>
      </c>
      <c r="C18" s="2" t="str">
        <f>IFERROR(__xludf.DUMMYFUNCTION("""COMPUTED_VALUE"""),"সঠিক নিয়ম জেনে নেই মাস্ক পরার আগে এবং খোলার পর কমপক্ষে বিশ সেকেন্ড ধরে সাবান ও পানি দিয়ে হাত ধুয়ে নিন মাস্ক পরার এবং খোলার সময় মাস্কের সামনের দিকে স্পর্শ করবেন না পিতা ধরে মাস্ক পরুন এবং খুলুন মাস্কটি এমনভাবে মুখের উপর রাখুন যেন নাগ ও মুখ ঢেকে যায় এরপর এম"&amp;"নভাবে বেঁধে নিন যেন মুখ ও মাস্কের মাঝে কোনো ফাপ না থাকে কথা বলার সময় কখনোই নাক মুখ উন্মুক্ত রেখে মাস্ক দবারা থুতনি ঢেকে")</f>
        <v>সঠিক নিয়ম জেনে নেই মাস্ক পরার আগে এবং খোলার পর কমপক্ষে বিশ সেকেন্ড ধরে সাবান ও পানি দিয়ে হাত ধুয়ে নিন মাস্ক পরার এবং খোলার সময় মাস্কের সামনের দিকে স্পর্শ করবেন না পিতা ধরে মাস্ক পরুন এবং খুলুন মাস্কটি এমনভাবে মুখের উপর রাখুন যেন নাগ ও মুখ ঢেকে যায় এরপর এমনভাবে বেঁধে নিন যেন মুখ ও মাস্কের মাঝে কোনো ফাপ না থাকে কথা বলার সময় কখনোই নাক মুখ উন্মুক্ত রেখে মাস্ক দবারা থুতনি ঢেকে</v>
      </c>
      <c r="D18" s="2" t="str">
        <f>IFERROR(__xludf.DUMMYFUNCTION("""COMPUTED_VALUE"""),"Yes")</f>
        <v>Yes</v>
      </c>
      <c r="E18" s="2" t="str">
        <f>IFERROR(__xludf.DUMMYFUNCTION("""COMPUTED_VALUE"""),"No")</f>
        <v>No</v>
      </c>
      <c r="F18" s="2" t="str">
        <f>IFERROR(__xludf.DUMMYFUNCTION("""COMPUTED_VALUE"""),"Yes")</f>
        <v>Yes</v>
      </c>
      <c r="G18" s="2">
        <f>IFERROR(__xludf.DUMMYFUNCTION("""COMPUTED_VALUE"""),1.0)</f>
        <v>1</v>
      </c>
      <c r="H18" s="2">
        <f>IFERROR(__xludf.DUMMYFUNCTION("""COMPUTED_VALUE"""),0.5)</f>
        <v>0.5</v>
      </c>
      <c r="I18" s="2">
        <f>IFERROR(__xludf.DUMMYFUNCTION("""COMPUTED_VALUE"""),0.5)</f>
        <v>0.5</v>
      </c>
      <c r="J18" s="2">
        <f>IFERROR(__xludf.DUMMYFUNCTION("""COMPUTED_VALUE"""),0.5)</f>
        <v>0.5</v>
      </c>
      <c r="K18" s="2" t="str">
        <f>IFERROR(__xludf.DUMMYFUNCTION("""COMPUTED_VALUE"""),"5 – High-quality, Clean Bangla speech")</f>
        <v>5 – High-quality, Clean Bangla speech</v>
      </c>
      <c r="L18" s="2" t="str">
        <f>IFERROR(__xludf.DUMMYFUNCTION("""COMPUTED_VALUE"""),"No")</f>
        <v>No</v>
      </c>
    </row>
    <row r="19">
      <c r="A19" s="2" t="str">
        <f>IFERROR(__xludf.DUMMYFUNCTION("""COMPUTED_VALUE"""),"collect/read/YouTube/Sangsad TV/Kb5Ewq2Q280/61d9b4ba-9fe8-4603-8c53-22b4721c7264.flac")</f>
        <v>collect/read/YouTube/Sangsad TV/Kb5Ewq2Q280/61d9b4ba-9fe8-4603-8c53-22b4721c7264.flac</v>
      </c>
      <c r="B19" s="2">
        <f>IFERROR(__xludf.DUMMYFUNCTION("""COMPUTED_VALUE"""),30.0)</f>
        <v>30</v>
      </c>
      <c r="C19" s="2" t="str">
        <f>IFERROR(__xludf.DUMMYFUNCTION("""COMPUTED_VALUE"""),"করোনাভাইরাস কোভিড উনিশ এর বিস্তার প্রতিরোধে সুস্থ এবং আক্রান্ত উভয় ব্যক্তিকেই মাস্ক ব্যবহার করতে হবে আর মাস্ক ব্যবহার করার আগে খেয়াল রাখবে সেটি যেন তিন স্তরবিশিষ্ট কাপড়ের মাছ খায় চাইলে বাড়িতেই কাপড়ের মাস্ক তৈরি করা যাবে একটি মাস্ক তৈরি করতে অবশ্যই দুই ধরন"&amp;"ের কাপড় যেমন মোটা সুতি কাপড়ের সাথে পলিস্টার অথবা পপলিন কাপড় ব্যবহার করবে এবার আমরা কাপড়ের মাস্ক ব্যবহার করা")</f>
        <v>করোনাভাইরাস কোভিড উনিশ এর বিস্তার প্রতিরোধে সুস্থ এবং আক্রান্ত উভয় ব্যক্তিকেই মাস্ক ব্যবহার করতে হবে আর মাস্ক ব্যবহার করার আগে খেয়াল রাখবে সেটি যেন তিন স্তরবিশিষ্ট কাপড়ের মাছ খায় চাইলে বাড়িতেই কাপড়ের মাস্ক তৈরি করা যাবে একটি মাস্ক তৈরি করতে অবশ্যই দুই ধরনের কাপড় যেমন মোটা সুতি কাপড়ের সাথে পলিস্টার অথবা পপলিন কাপড় ব্যবহার করবে এবার আমরা কাপড়ের মাস্ক ব্যবহার করা</v>
      </c>
      <c r="D19" s="2" t="str">
        <f>IFERROR(__xludf.DUMMYFUNCTION("""COMPUTED_VALUE"""),"Yes")</f>
        <v>Yes</v>
      </c>
      <c r="E19" s="2" t="str">
        <f>IFERROR(__xludf.DUMMYFUNCTION("""COMPUTED_VALUE"""),"Yes")</f>
        <v>Yes</v>
      </c>
      <c r="F19" s="2" t="str">
        <f>IFERROR(__xludf.DUMMYFUNCTION("""COMPUTED_VALUE"""),"Yes")</f>
        <v>Yes</v>
      </c>
      <c r="G19" s="2">
        <f>IFERROR(__xludf.DUMMYFUNCTION("""COMPUTED_VALUE"""),0.5)</f>
        <v>0.5</v>
      </c>
      <c r="H19" s="2">
        <f>IFERROR(__xludf.DUMMYFUNCTION("""COMPUTED_VALUE"""),0.5)</f>
        <v>0.5</v>
      </c>
      <c r="I19" s="2">
        <f>IFERROR(__xludf.DUMMYFUNCTION("""COMPUTED_VALUE"""),0.5)</f>
        <v>0.5</v>
      </c>
      <c r="J19" s="2">
        <f>IFERROR(__xludf.DUMMYFUNCTION("""COMPUTED_VALUE"""),0.5)</f>
        <v>0.5</v>
      </c>
      <c r="K19" s="2" t="str">
        <f>IFERROR(__xludf.DUMMYFUNCTION("""COMPUTED_VALUE"""),"5 – High-quality, Clean Bangla speech")</f>
        <v>5 – High-quality, Clean Bangla speech</v>
      </c>
      <c r="L19" s="2" t="str">
        <f>IFERROR(__xludf.DUMMYFUNCTION("""COMPUTED_VALUE"""),"No")</f>
        <v>No</v>
      </c>
    </row>
    <row r="20">
      <c r="A20" s="2" t="str">
        <f>IFERROR(__xludf.DUMMYFUNCTION("""COMPUTED_VALUE"""),"collect/read/YouTube/Sangsad TV/Kb5Ewq2Q280/7fc4818d-67e1-4b84-bb57-f769d27f79e0.flac")</f>
        <v>collect/read/YouTube/Sangsad TV/Kb5Ewq2Q280/7fc4818d-67e1-4b84-bb57-f769d27f79e0.flac</v>
      </c>
      <c r="B20" s="2">
        <f>IFERROR(__xludf.DUMMYFUNCTION("""COMPUTED_VALUE"""),30.0)</f>
        <v>30</v>
      </c>
      <c r="C20" s="2" t="str">
        <f>IFERROR(__xludf.DUMMYFUNCTION("""COMPUTED_VALUE"""),"পরিবারের সবার জন্য আলাদা আলাদা মাস্কের ব্যবস্থা রাখতে হবে মনে রাখবেন কোভিড উনিশ আক্রান্ত ব্যক্তি এবং তাদের সংস্পর্শে আসা স্বাস্থ্যসেবাদানকারী ও পরিচর্যাকারীদের অবশ্যই সার্জিক্যাল মাস্ক অথবা এন নাইনটি ফাইভ মাস্ক ব্যবহার করতে হবে সার্জিকাল মাস্ক একবার এবং এ"&amp;"ন নাইন্টিফাইভ মাস্ক ব্যবহারযোগ্য থাকা পর্যন্ত না ধুয়েই অনেক বার ব্যবহার করা যাবে আরো মনে রাখতে হবে হাত জীবাণুমুক্ত করার আগে কোনোভাবেই মুখ স্পর্শ করবে ন")</f>
        <v>পরিবারের সবার জন্য আলাদা আলাদা মাস্কের ব্যবস্থা রাখতে হবে মনে রাখবেন কোভিড উনিশ আক্রান্ত ব্যক্তি এবং তাদের সংস্পর্শে আসা স্বাস্থ্যসেবাদানকারী ও পরিচর্যাকারীদের অবশ্যই সার্জিক্যাল মাস্ক অথবা এন নাইনটি ফাইভ মাস্ক ব্যবহার করতে হবে সার্জিকাল মাস্ক একবার এবং এন নাইন্টিফাইভ মাস্ক ব্যবহারযোগ্য থাকা পর্যন্ত না ধুয়েই অনেক বার ব্যবহার করা যাবে আরো মনে রাখতে হবে হাত জীবাণুমুক্ত করার আগে কোনোভাবেই মুখ স্পর্শ করবে ন</v>
      </c>
      <c r="D20" s="2" t="str">
        <f>IFERROR(__xludf.DUMMYFUNCTION("""COMPUTED_VALUE"""),"Yes")</f>
        <v>Yes</v>
      </c>
      <c r="E20" s="2" t="str">
        <f>IFERROR(__xludf.DUMMYFUNCTION("""COMPUTED_VALUE"""),"No")</f>
        <v>No</v>
      </c>
      <c r="F20" s="2" t="str">
        <f>IFERROR(__xludf.DUMMYFUNCTION("""COMPUTED_VALUE"""),"No")</f>
        <v>No</v>
      </c>
      <c r="G20" s="2">
        <f>IFERROR(__xludf.DUMMYFUNCTION("""COMPUTED_VALUE"""),1.0)</f>
        <v>1</v>
      </c>
      <c r="H20" s="2">
        <f>IFERROR(__xludf.DUMMYFUNCTION("""COMPUTED_VALUE"""),0.5)</f>
        <v>0.5</v>
      </c>
      <c r="I20" s="2">
        <f>IFERROR(__xludf.DUMMYFUNCTION("""COMPUTED_VALUE"""),0.5)</f>
        <v>0.5</v>
      </c>
      <c r="J20" s="2">
        <f>IFERROR(__xludf.DUMMYFUNCTION("""COMPUTED_VALUE"""),0.5)</f>
        <v>0.5</v>
      </c>
      <c r="K20" s="2" t="str">
        <f>IFERROR(__xludf.DUMMYFUNCTION("""COMPUTED_VALUE"""),"5 – High-quality, Clean Bangla speech")</f>
        <v>5 – High-quality, Clean Bangla speech</v>
      </c>
      <c r="L20" s="2" t="str">
        <f>IFERROR(__xludf.DUMMYFUNCTION("""COMPUTED_VALUE"""),"No")</f>
        <v>No</v>
      </c>
    </row>
    <row r="21">
      <c r="A21" s="2" t="str">
        <f>IFERROR(__xludf.DUMMYFUNCTION("""COMPUTED_VALUE"""),"collect/read/YouTube/Sangsad TV/Kb5Ewq2Q280/afe263d2-000d-4541-a9f5-af01a46a5bfe.flac")</f>
        <v>collect/read/YouTube/Sangsad TV/Kb5Ewq2Q280/afe263d2-000d-4541-a9f5-af01a46a5bfe.flac</v>
      </c>
      <c r="B21" s="2">
        <f>IFERROR(__xludf.DUMMYFUNCTION("""COMPUTED_VALUE"""),30.0)</f>
        <v>30</v>
      </c>
      <c r="C21" s="2" t="str">
        <f>IFERROR(__xludf.DUMMYFUNCTION("""COMPUTED_VALUE"""),"মাস্কের অবস্থান ঠিক করার জন্য বারবার মুখ নাক ও চোখ স্পর্শ করা থেকে বিরত থাকুন শুধুমাত্র মাস্কের ব্যবহার কোভিড উনিশ সংক্রমণ থেকেই আপনাকে সম্পূর্ণ সুরক্ষিত রাখতে যথেষ্ট নয় সুরক্ষিত থাকতে সবসময় অন্যদের থেকে কমপক্ষে তিন ফুট দূরত্ব বজায় রাখা এবং ঘন ঘন সাবান ও "&amp;"পানি দিয়ে কমপক্ষে বিশ সেকেন্ড হাত ধোয়া জরুরি করোনাভাইরাস কোভিড উনিশ সংক্রমণ থেকে নিজেকে এবং অন্যদের শুর্্ষে")</f>
        <v>মাস্কের অবস্থান ঠিক করার জন্য বারবার মুখ নাক ও চোখ স্পর্শ করা থেকে বিরত থাকুন শুধুমাত্র মাস্কের ব্যবহার কোভিড উনিশ সংক্রমণ থেকেই আপনাকে সম্পূর্ণ সুরক্ষিত রাখতে যথেষ্ট নয় সুরক্ষিত থাকতে সবসময় অন্যদের থেকে কমপক্ষে তিন ফুট দূরত্ব বজায় রাখা এবং ঘন ঘন সাবান ও পানি দিয়ে কমপক্ষে বিশ সেকেন্ড হাত ধোয়া জরুরি করোনাভাইরাস কোভিড উনিশ সংক্রমণ থেকে নিজেকে এবং অন্যদের শুর্্ষে</v>
      </c>
      <c r="D21" s="2" t="str">
        <f>IFERROR(__xludf.DUMMYFUNCTION("""COMPUTED_VALUE"""),"Yes")</f>
        <v>Yes</v>
      </c>
      <c r="E21" s="2" t="str">
        <f>IFERROR(__xludf.DUMMYFUNCTION("""COMPUTED_VALUE"""),"No")</f>
        <v>No</v>
      </c>
      <c r="F21" s="2" t="str">
        <f>IFERROR(__xludf.DUMMYFUNCTION("""COMPUTED_VALUE"""),"No")</f>
        <v>No</v>
      </c>
      <c r="G21" s="2">
        <f>IFERROR(__xludf.DUMMYFUNCTION("""COMPUTED_VALUE"""),1.0)</f>
        <v>1</v>
      </c>
      <c r="H21" s="2">
        <f>IFERROR(__xludf.DUMMYFUNCTION("""COMPUTED_VALUE"""),0.5)</f>
        <v>0.5</v>
      </c>
      <c r="I21" s="2">
        <f>IFERROR(__xludf.DUMMYFUNCTION("""COMPUTED_VALUE"""),1.0)</f>
        <v>1</v>
      </c>
      <c r="J21" s="2">
        <f>IFERROR(__xludf.DUMMYFUNCTION("""COMPUTED_VALUE"""),0.5)</f>
        <v>0.5</v>
      </c>
      <c r="K21" s="2" t="str">
        <f>IFERROR(__xludf.DUMMYFUNCTION("""COMPUTED_VALUE"""),"5 – High-quality, Clean Bangla speech")</f>
        <v>5 – High-quality, Clean Bangla speech</v>
      </c>
      <c r="L21" s="2" t="str">
        <f>IFERROR(__xludf.DUMMYFUNCTION("""COMPUTED_VALUE"""),"No")</f>
        <v>No</v>
      </c>
    </row>
    <row r="22">
      <c r="A22" s="2" t="str">
        <f>IFERROR(__xludf.DUMMYFUNCTION("""COMPUTED_VALUE"""),"collect/read/YouTube/Sangsad TV/Kb5Ewq2Q280/c61cd99c-0888-4fac-bbdc-c722f3296415.flac")</f>
        <v>collect/read/YouTube/Sangsad TV/Kb5Ewq2Q280/c61cd99c-0888-4fac-bbdc-c722f3296415.flac</v>
      </c>
      <c r="B22" s="2">
        <f>IFERROR(__xludf.DUMMYFUNCTION("""COMPUTED_VALUE"""),30.0)</f>
        <v>30</v>
      </c>
      <c r="C22" s="2" t="str">
        <f>IFERROR(__xludf.DUMMYFUNCTION("""COMPUTED_VALUE"""),"উখবেন না শুধুমাত্র নাক বা শুধুমাত্র মুখ ঢেকে রাখলে চলবে না সবসময় সঠিকভাবে কাপড়ের তৈরি মাস্ক পরুন মাস্ক ভিজে গেলে দ্রুত সেটি বদলে নতুন অথবা পরিষ্কার আরেকটি মাস্ক ব্যবহার করুন ব্যবহৃত মাস্ক কখনোই উল্টো করে পুনরায় ব্যবহার করবে না সবসময়ই কাপড়ের তৈরি দুটি মাস্"&amp;"ক রাখুন মাস্ক ব্যবহারের পর সাবান ও গরম পানিতে ধুয়ে ভালো করে শুকিয়ে নিয়ে আবার ব্যবহার করুন একটি মাস্ক শুধুমাত্র একজন ব্যবহার করবেন")</f>
        <v>উখবেন না শুধুমাত্র নাক বা শুধুমাত্র মুখ ঢেকে রাখলে চলবে না সবসময় সঠিকভাবে কাপড়ের তৈরি মাস্ক পরুন মাস্ক ভিজে গেলে দ্রুত সেটি বদলে নতুন অথবা পরিষ্কার আরেকটি মাস্ক ব্যবহার করুন ব্যবহৃত মাস্ক কখনোই উল্টো করে পুনরায় ব্যবহার করবে না সবসময়ই কাপড়ের তৈরি দুটি মাস্ক রাখুন মাস্ক ব্যবহারের পর সাবান ও গরম পানিতে ধুয়ে ভালো করে শুকিয়ে নিয়ে আবার ব্যবহার করুন একটি মাস্ক শুধুমাত্র একজন ব্যবহার করবেন</v>
      </c>
      <c r="D22" s="2" t="str">
        <f>IFERROR(__xludf.DUMMYFUNCTION("""COMPUTED_VALUE"""),"Yes")</f>
        <v>Yes</v>
      </c>
      <c r="E22" s="2" t="str">
        <f>IFERROR(__xludf.DUMMYFUNCTION("""COMPUTED_VALUE"""),"No")</f>
        <v>No</v>
      </c>
      <c r="F22" s="2" t="str">
        <f>IFERROR(__xludf.DUMMYFUNCTION("""COMPUTED_VALUE"""),"Yes")</f>
        <v>Yes</v>
      </c>
      <c r="G22" s="2">
        <f>IFERROR(__xludf.DUMMYFUNCTION("""COMPUTED_VALUE"""),1.0)</f>
        <v>1</v>
      </c>
      <c r="H22" s="2">
        <f>IFERROR(__xludf.DUMMYFUNCTION("""COMPUTED_VALUE"""),1.0)</f>
        <v>1</v>
      </c>
      <c r="I22" s="2">
        <f>IFERROR(__xludf.DUMMYFUNCTION("""COMPUTED_VALUE"""),1.0)</f>
        <v>1</v>
      </c>
      <c r="J22" s="2">
        <f>IFERROR(__xludf.DUMMYFUNCTION("""COMPUTED_VALUE"""),0.5)</f>
        <v>0.5</v>
      </c>
      <c r="K22" s="2" t="str">
        <f>IFERROR(__xludf.DUMMYFUNCTION("""COMPUTED_VALUE"""),"5 – High-quality, Clean Bangla speech")</f>
        <v>5 – High-quality, Clean Bangla speech</v>
      </c>
      <c r="L22" s="2" t="str">
        <f>IFERROR(__xludf.DUMMYFUNCTION("""COMPUTED_VALUE"""),"No")</f>
        <v>No</v>
      </c>
    </row>
    <row r="23">
      <c r="A23" s="2" t="str">
        <f>IFERROR(__xludf.DUMMYFUNCTION("""COMPUTED_VALUE"""),"collect/read/YouTube/Sangsad TV/u7OO62klH8o/d580119b-48a2-4e40-9507-edb9d3302a56.flac")</f>
        <v>collect/read/YouTube/Sangsad TV/u7OO62klH8o/d580119b-48a2-4e40-9507-edb9d3302a56.flac</v>
      </c>
      <c r="B23" s="2">
        <f>IFERROR(__xludf.DUMMYFUNCTION("""COMPUTED_VALUE"""),30.0)</f>
        <v>30</v>
      </c>
      <c r="C23" s="2" t="str">
        <f>IFERROR(__xludf.DUMMYFUNCTION("""COMPUTED_VALUE"""),"বলে স্বীকার করেছি যে দশই তারিখে রাউন্ড টেবল কনফারেন্স হবে আমি উনাকে একথা বলে দেবার চাই আমি তাকে তাও বলি নাই টেলিফোনে আমার সঙ্গে তার কথা হয় তাকে আমি বলেছিলাম জনাব এহহিয়া খান সাহেব আপনি পাকিস্তানের প্রেসিডেন্ট দেখে যান ঢাকায় আসেন কীভাবে আমার গরিবের উপরে আমা"&amp;"র বাংলার মানুষের অবুকের উপরে গুলি করা হয়েছে কি করে আমার মায়ের কোল খালি করা হয়েছে")</f>
        <v>বলে স্বীকার করেছি যে দশই তারিখে রাউন্ড টেবল কনফারেন্স হবে আমি উনাকে একথা বলে দেবার চাই আমি তাকে তাও বলি নাই টেলিফোনে আমার সঙ্গে তার কথা হয় তাকে আমি বলেছিলাম জনাব এহহিয়া খান সাহেব আপনি পাকিস্তানের প্রেসিডেন্ট দেখে যান ঢাকায় আসেন কীভাবে আমার গরিবের উপরে আমার বাংলার মানুষের অবুকের উপরে গুলি করা হয়েছে কি করে আমার মায়ের কোল খালি করা হয়েছে</v>
      </c>
      <c r="D23" s="2" t="str">
        <f>IFERROR(__xludf.DUMMYFUNCTION("""COMPUTED_VALUE"""),"Yes")</f>
        <v>Yes</v>
      </c>
      <c r="E23" s="2" t="str">
        <f>IFERROR(__xludf.DUMMYFUNCTION("""COMPUTED_VALUE"""),"No")</f>
        <v>No</v>
      </c>
      <c r="F23" s="2" t="str">
        <f>IFERROR(__xludf.DUMMYFUNCTION("""COMPUTED_VALUE"""),"No")</f>
        <v>No</v>
      </c>
      <c r="G23" s="2">
        <f>IFERROR(__xludf.DUMMYFUNCTION("""COMPUTED_VALUE"""),1.0)</f>
        <v>1</v>
      </c>
      <c r="H23" s="2">
        <f>IFERROR(__xludf.DUMMYFUNCTION("""COMPUTED_VALUE"""),1.0)</f>
        <v>1</v>
      </c>
      <c r="I23" s="2">
        <f>IFERROR(__xludf.DUMMYFUNCTION("""COMPUTED_VALUE"""),0.5)</f>
        <v>0.5</v>
      </c>
      <c r="J23" s="2">
        <f>IFERROR(__xludf.DUMMYFUNCTION("""COMPUTED_VALUE"""),0.0)</f>
        <v>0</v>
      </c>
      <c r="K23" s="2" t="str">
        <f>IFERROR(__xludf.DUMMYFUNCTION("""COMPUTED_VALUE"""),"4– Usable, minor flaws Minor background noise.")</f>
        <v>4– Usable, minor flaws Minor background noise.</v>
      </c>
      <c r="L23" s="2" t="str">
        <f>IFERROR(__xludf.DUMMYFUNCTION("""COMPUTED_VALUE"""),"No")</f>
        <v>No</v>
      </c>
    </row>
    <row r="24">
      <c r="A24" s="2"/>
      <c r="B24" s="2"/>
      <c r="C24" s="2"/>
      <c r="D24" s="2"/>
      <c r="E24" s="2"/>
      <c r="F24" s="2"/>
      <c r="G24" s="2"/>
      <c r="H24" s="2"/>
      <c r="I24" s="2"/>
      <c r="J24" s="2"/>
      <c r="K24" s="2"/>
      <c r="L24" s="2"/>
    </row>
    <row r="25">
      <c r="A25" s="2"/>
      <c r="B25" s="2"/>
      <c r="C25" s="2"/>
      <c r="D25" s="2"/>
      <c r="E25" s="2"/>
      <c r="F25" s="2"/>
      <c r="G25" s="2"/>
      <c r="H25" s="2"/>
      <c r="I25" s="2"/>
      <c r="J25" s="2"/>
      <c r="K25" s="2"/>
      <c r="L25" s="2"/>
    </row>
    <row r="26">
      <c r="A26" s="2"/>
      <c r="B26" s="2"/>
      <c r="C26" s="2"/>
      <c r="D26" s="2"/>
      <c r="E26" s="2"/>
      <c r="F26" s="2"/>
      <c r="G26" s="2"/>
      <c r="H26" s="2"/>
      <c r="I26" s="2"/>
      <c r="J26" s="2"/>
      <c r="K26" s="2"/>
      <c r="L26" s="2"/>
    </row>
    <row r="27">
      <c r="A27" s="2"/>
      <c r="B27" s="2"/>
      <c r="C27" s="2"/>
      <c r="D27" s="2"/>
      <c r="E27" s="2"/>
      <c r="F27" s="2"/>
      <c r="G27" s="2"/>
      <c r="H27" s="2"/>
      <c r="I27" s="2"/>
      <c r="J27" s="2"/>
      <c r="K27" s="2"/>
      <c r="L27" s="2"/>
    </row>
    <row r="28">
      <c r="A28" s="2"/>
      <c r="B28" s="2"/>
      <c r="C28" s="2"/>
      <c r="D28" s="2"/>
      <c r="E28" s="2"/>
      <c r="F28" s="2"/>
      <c r="G28" s="2"/>
      <c r="H28" s="2"/>
      <c r="I28" s="2"/>
      <c r="J28" s="2"/>
      <c r="K28" s="2"/>
      <c r="L28" s="2"/>
    </row>
    <row r="29">
      <c r="A29" s="2"/>
      <c r="B29" s="2"/>
      <c r="C29" s="2"/>
      <c r="D29" s="2"/>
      <c r="E29" s="2"/>
      <c r="F29" s="2"/>
      <c r="G29" s="2"/>
      <c r="H29" s="2"/>
      <c r="I29" s="2"/>
      <c r="J29" s="2"/>
      <c r="K29" s="2"/>
      <c r="L29" s="2"/>
    </row>
    <row r="30">
      <c r="A30" s="2"/>
      <c r="B30" s="2"/>
      <c r="C30" s="2"/>
      <c r="D30" s="2"/>
      <c r="E30" s="2"/>
      <c r="F30" s="2"/>
      <c r="G30" s="2"/>
      <c r="H30" s="2"/>
      <c r="I30" s="2"/>
      <c r="J30" s="2"/>
      <c r="K30" s="2"/>
      <c r="L30" s="2"/>
    </row>
    <row r="31">
      <c r="A31" s="2"/>
      <c r="B31" s="2"/>
      <c r="C31" s="2"/>
      <c r="D31" s="2"/>
      <c r="E31" s="2"/>
      <c r="F31" s="2"/>
      <c r="G31" s="2"/>
      <c r="H31" s="2"/>
      <c r="I31" s="2"/>
      <c r="J31" s="2"/>
      <c r="K31" s="2"/>
      <c r="L31" s="2"/>
    </row>
    <row r="32">
      <c r="A32" s="2"/>
      <c r="B32" s="2"/>
      <c r="C32" s="2"/>
      <c r="D32" s="2"/>
      <c r="E32" s="2"/>
      <c r="F32" s="2"/>
      <c r="G32" s="2"/>
      <c r="H32" s="2"/>
      <c r="I32" s="2"/>
      <c r="J32" s="2"/>
      <c r="K32" s="2"/>
      <c r="L32" s="2"/>
    </row>
    <row r="33">
      <c r="A33" s="2"/>
      <c r="B33" s="2"/>
      <c r="C33" s="2"/>
      <c r="D33" s="2"/>
      <c r="E33" s="2"/>
      <c r="F33" s="2"/>
      <c r="G33" s="2"/>
      <c r="H33" s="2"/>
      <c r="I33" s="2"/>
      <c r="J33" s="2"/>
      <c r="K33" s="2"/>
      <c r="L33" s="2"/>
    </row>
    <row r="34">
      <c r="A34" s="2"/>
      <c r="B34" s="2"/>
      <c r="C34" s="2"/>
      <c r="D34" s="2"/>
      <c r="E34" s="2"/>
      <c r="F34" s="2"/>
      <c r="G34" s="2"/>
      <c r="H34" s="2"/>
      <c r="I34" s="2"/>
      <c r="J34" s="2"/>
      <c r="K34" s="2"/>
      <c r="L34" s="2"/>
    </row>
    <row r="35">
      <c r="A35" s="2"/>
      <c r="B35" s="2"/>
      <c r="C35" s="2"/>
      <c r="D35" s="2"/>
      <c r="E35" s="2"/>
      <c r="F35" s="2"/>
      <c r="G35" s="2"/>
      <c r="H35" s="2"/>
      <c r="I35" s="2"/>
      <c r="J35" s="2"/>
      <c r="K35" s="2"/>
      <c r="L35" s="2"/>
    </row>
    <row r="36">
      <c r="A36" s="2"/>
      <c r="B36" s="2"/>
      <c r="C36" s="2"/>
      <c r="D36" s="2"/>
      <c r="E36" s="2"/>
      <c r="F36" s="2"/>
      <c r="G36" s="2"/>
      <c r="H36" s="2"/>
      <c r="I36" s="2"/>
      <c r="J36" s="2"/>
      <c r="K36" s="2"/>
      <c r="L36" s="2"/>
    </row>
    <row r="37">
      <c r="A37" s="2"/>
      <c r="B37" s="2"/>
      <c r="C37" s="2"/>
      <c r="D37" s="2"/>
      <c r="E37" s="2"/>
      <c r="F37" s="2"/>
      <c r="G37" s="2"/>
      <c r="H37" s="2"/>
      <c r="I37" s="2"/>
      <c r="J37" s="2"/>
      <c r="K37" s="2"/>
      <c r="L37" s="2"/>
    </row>
    <row r="38">
      <c r="A38" s="2"/>
      <c r="B38" s="2"/>
      <c r="C38" s="2"/>
      <c r="D38" s="2"/>
      <c r="E38" s="2"/>
      <c r="F38" s="2"/>
      <c r="G38" s="2"/>
      <c r="H38" s="2"/>
      <c r="I38" s="2"/>
      <c r="J38" s="2"/>
      <c r="K38" s="2"/>
      <c r="L38" s="2"/>
    </row>
    <row r="39">
      <c r="A39" s="2"/>
      <c r="B39" s="2"/>
      <c r="C39" s="2"/>
      <c r="D39" s="2"/>
      <c r="E39" s="2"/>
      <c r="F39" s="2"/>
      <c r="G39" s="2"/>
      <c r="H39" s="2"/>
      <c r="I39" s="2"/>
      <c r="J39" s="2"/>
      <c r="K39" s="2"/>
      <c r="L39" s="2"/>
    </row>
    <row r="40">
      <c r="A40" s="2"/>
      <c r="B40" s="2"/>
      <c r="C40" s="2"/>
      <c r="D40" s="2"/>
      <c r="E40" s="2"/>
      <c r="F40" s="2"/>
      <c r="G40" s="2"/>
      <c r="H40" s="2"/>
      <c r="I40" s="2"/>
      <c r="J40" s="2"/>
      <c r="K40" s="2"/>
      <c r="L40" s="2"/>
    </row>
    <row r="41">
      <c r="A41" s="2"/>
      <c r="B41" s="2"/>
      <c r="C41" s="2"/>
      <c r="D41" s="2"/>
      <c r="E41" s="2"/>
      <c r="F41" s="2"/>
      <c r="G41" s="2"/>
      <c r="H41" s="2"/>
      <c r="I41" s="2"/>
      <c r="J41" s="2"/>
      <c r="K41" s="2"/>
      <c r="L41" s="2"/>
    </row>
    <row r="42">
      <c r="A42" s="2"/>
      <c r="B42" s="2"/>
      <c r="C42" s="2"/>
      <c r="D42" s="2"/>
      <c r="E42" s="2"/>
      <c r="F42" s="2"/>
      <c r="G42" s="2"/>
      <c r="H42" s="2"/>
      <c r="I42" s="2"/>
      <c r="J42" s="2"/>
      <c r="K42" s="2"/>
      <c r="L42" s="2"/>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row r="1000">
      <c r="A1000" s="2"/>
      <c r="B1000" s="2"/>
      <c r="C1000" s="2"/>
      <c r="D1000" s="2"/>
      <c r="E1000" s="2"/>
      <c r="F1000" s="2"/>
      <c r="G1000" s="2"/>
      <c r="H1000" s="2"/>
      <c r="I1000" s="2"/>
      <c r="J1000" s="2"/>
      <c r="K1000" s="2"/>
      <c r="L1000"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IFERROR(__xludf.DUMMYFUNCTION("IMPORTRANGE(""https://docs.google.com/spreadsheets/d/1MWa6Tvw4zXRkw-sT1Z4FkDvYEbXl6LisfYmRs4QaUgo/edit?gid=1682353242#gid=1682353242"", ""Data!A:L"")"),"Filename")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IFERROR(__xludf.DUMMYFUNCTION("""COMPUTED_VALUE"""),"collect\miscellaneous\Dhaka FM\DFM - AUDIO CLIP (03-01-2023)\0006b05f-07e1-4af3-b1e0-85cf81ebeb2e.flac")</f>
        <v>collect\miscellaneous\Dhaka FM\DFM - AUDIO CLIP (03-01-2023)\0006b05f-07e1-4af3-b1e0-85cf81ebeb2e.flac</v>
      </c>
      <c r="B2" s="2">
        <f>IFERROR(__xludf.DUMMYFUNCTION("""COMPUTED_VALUE"""),5.249)</f>
        <v>5.249</v>
      </c>
      <c r="C2" s="2" t="str">
        <f>IFERROR(__xludf.DUMMYFUNCTION("""COMPUTED_VALUE"""),"প্লান্সওকে আউকে নাও লেসগ্লো ফরেদি সাং")</f>
        <v>প্লান্সওকে আউকে নাও লেসগ্লো ফরেদি সাং</v>
      </c>
      <c r="D2" s="2" t="str">
        <f>IFERROR(__xludf.DUMMYFUNCTION("""COMPUTED_VALUE"""),"No")</f>
        <v>No</v>
      </c>
      <c r="E2" s="2" t="str">
        <f>IFERROR(__xludf.DUMMYFUNCTION("""COMPUTED_VALUE"""),"No")</f>
        <v>No</v>
      </c>
      <c r="F2" s="2" t="str">
        <f>IFERROR(__xludf.DUMMYFUNCTION("""COMPUTED_VALUE"""),"Yes")</f>
        <v>Yes</v>
      </c>
      <c r="G2" s="2">
        <f>IFERROR(__xludf.DUMMYFUNCTION("""COMPUTED_VALUE"""),0.5)</f>
        <v>0.5</v>
      </c>
      <c r="H2" s="2">
        <f>IFERROR(__xludf.DUMMYFUNCTION("""COMPUTED_VALUE"""),0.5)</f>
        <v>0.5</v>
      </c>
      <c r="I2" s="2">
        <f>IFERROR(__xludf.DUMMYFUNCTION("""COMPUTED_VALUE"""),0.5)</f>
        <v>0.5</v>
      </c>
      <c r="J2" s="2">
        <f>IFERROR(__xludf.DUMMYFUNCTION("""COMPUTED_VALUE"""),0.5)</f>
        <v>0.5</v>
      </c>
      <c r="K2" s="2" t="str">
        <f>IFERROR(__xludf.DUMMYFUNCTION("""COMPUTED_VALUE"""),"1 - Unusable Severely degraded, or non-Bangla")</f>
        <v>1 - Unusable Severely degraded, or non-Bangla</v>
      </c>
      <c r="L2" s="2" t="str">
        <f>IFERROR(__xludf.DUMMYFUNCTION("""COMPUTED_VALUE"""),"Yes")</f>
        <v>Yes</v>
      </c>
    </row>
    <row r="3">
      <c r="A3" s="2" t="str">
        <f>IFERROR(__xludf.DUMMYFUNCTION("""COMPUTED_VALUE"""),"collect\miscellaneous\Dhaka FM\DFM - AUDIO CLIP (03-01-2023)\00309fb8-75de-43c6-869b-e0dadde36d51.flac")</f>
        <v>collect\miscellaneous\Dhaka FM\DFM - AUDIO CLIP (03-01-2023)\00309fb8-75de-43c6-869b-e0dadde36d51.flac</v>
      </c>
      <c r="B3" s="2">
        <f>IFERROR(__xludf.DUMMYFUNCTION("""COMPUTED_VALUE"""),29.575)</f>
        <v>29.575</v>
      </c>
      <c r="C3" s="2" t="str">
        <f>IFERROR(__xludf.DUMMYFUNCTION("""COMPUTED_VALUE"""),"প্রথমবারের মতো ইউনিভার্সিটি অব লিবারেল আর্ডস বাংলাদেশ ডিজাইন করেছে ম্যাসিভ ওপেন অনলাইন কোর্স এই কোর্টসে শিক্ষার্থীরা অনলাইনে চৌদ্দটি ইলেকশারের মাধ্যমে ডাইভার সিটি টলরেন্স প্লুরা লিজন সম্পর্কে পূর্ণ ধারণা পাবে এনরোল করতে এক্ষণী চলে যাও ডব্লিউডব্লিউডব্লিউডট"&amp;" বহুবৃহী ডটকম এই ওয়েবসাইটে ইউল্যাব ন্যাসসিভ ওপেন অনলাইন কোর্স ডেভেলপড বাই সেন্টের ফর এন্টাপ্রাইজ অ্যান্সোসাইটে")</f>
        <v>প্রথমবারের মতো ইউনিভার্সিটি অব লিবারেল আর্ডস বাংলাদেশ ডিজাইন করেছে ম্যাসিভ ওপেন অনলাইন কোর্স এই কোর্টসে শিক্ষার্থীরা অনলাইনে চৌদ্দটি ইলেকশারের মাধ্যমে ডাইভার সিটি টলরেন্স প্লুরা লিজন সম্পর্কে পূর্ণ ধারণা পাবে এনরোল করতে এক্ষণী চলে যাও ডব্লিউডব্লিউডব্লিউডট বহুবৃহী ডটকম এই ওয়েবসাইটে ইউল্যাব ন্যাসসিভ ওপেন অনলাইন কোর্স ডেভেলপড বাই সেন্টের ফর এন্টাপ্রাইজ অ্যান্সোসাইটে</v>
      </c>
      <c r="D3" s="2" t="str">
        <f>IFERROR(__xludf.DUMMYFUNCTION("""COMPUTED_VALUE"""),"No")</f>
        <v>No</v>
      </c>
      <c r="E3" s="2" t="str">
        <f>IFERROR(__xludf.DUMMYFUNCTION("""COMPUTED_VALUE"""),"Yes")</f>
        <v>Yes</v>
      </c>
      <c r="F3" s="2" t="str">
        <f>IFERROR(__xludf.DUMMYFUNCTION("""COMPUTED_VALUE"""),"Yes")</f>
        <v>Yes</v>
      </c>
      <c r="G3" s="2">
        <f>IFERROR(__xludf.DUMMYFUNCTION("""COMPUTED_VALUE"""),0.5)</f>
        <v>0.5</v>
      </c>
      <c r="H3" s="2">
        <f>IFERROR(__xludf.DUMMYFUNCTION("""COMPUTED_VALUE"""),0.5)</f>
        <v>0.5</v>
      </c>
      <c r="I3" s="2">
        <f>IFERROR(__xludf.DUMMYFUNCTION("""COMPUTED_VALUE"""),0.5)</f>
        <v>0.5</v>
      </c>
      <c r="J3" s="2">
        <f>IFERROR(__xludf.DUMMYFUNCTION("""COMPUTED_VALUE"""),0.0)</f>
        <v>0</v>
      </c>
      <c r="K3" s="2" t="str">
        <f>IFERROR(__xludf.DUMMYFUNCTION("""COMPUTED_VALUE"""),"3 – Mixed language or inconsistent quality")</f>
        <v>3 – Mixed language or inconsistent quality</v>
      </c>
      <c r="L3" s="2" t="str">
        <f>IFERROR(__xludf.DUMMYFUNCTION("""COMPUTED_VALUE"""),"Yes")</f>
        <v>Yes</v>
      </c>
    </row>
    <row r="4">
      <c r="A4" s="2" t="str">
        <f>IFERROR(__xludf.DUMMYFUNCTION("""COMPUTED_VALUE"""),"collect\miscellaneous\Dhaka FM\DFM - AUDIO CLIP (03-01-2023)\003218c4-b6be-4ee8-b335-26acfc8ebb81.flac")</f>
        <v>collect\miscellaneous\Dhaka FM\DFM - AUDIO CLIP (03-01-2023)\003218c4-b6be-4ee8-b335-26acfc8ebb81.flac</v>
      </c>
      <c r="B4" s="2">
        <f>IFERROR(__xludf.DUMMYFUNCTION("""COMPUTED_VALUE"""),30.0)</f>
        <v>30</v>
      </c>
      <c r="C4" s="2" t="str">
        <f>IFERROR(__xludf.DUMMYFUNCTION("""COMPUTED_VALUE"""),"শুনছেন ঢাকা এফএম নাইনটি পয়েন্ট ফোর ডিলিসনার্স আম্বার আইটি মানেই সুপার স্পিড অপটিক্যাল ফাইবার রডব্যান্ড ইন্টারনেট কানেকশন আর সেটা যদি হয় আপনার বাসায় তাহলে তোয়র কোনো কথাই নেই এখন আমবার আইটির হুম ইন্টারনে্ট প্যাকেজে পাচ্ছেন দারুণ সব অফ ফাইর্স ত্রিশ এমবিপিএস "&amp;"অথবা ত্রিশ এমবিপিএসের বেশি কানেকশনে পাচ্ছেন আইপি টেলিফোনে কথা বলার সুযোগ প্চুর এসএমএস আইপিটিভি এবং রিয়েল আইপিকামেকশন গেইমিয়এর জন্য রয়েছে লোল অ্যাচেন্সি তাহলে ডেরিকেশ নিয়েনে")</f>
        <v>শুনছেন ঢাকা এফএম নাইনটি পয়েন্ট ফোর ডিলিসনার্স আম্বার আইটি মানেই সুপার স্পিড অপটিক্যাল ফাইবার রডব্যান্ড ইন্টারনেট কানেকশন আর সেটা যদি হয় আপনার বাসায় তাহলে তোয়র কোনো কথাই নেই এখন আমবার আইটির হুম ইন্টারনে্ট প্যাকেজে পাচ্ছেন দারুণ সব অফ ফাইর্স ত্রিশ এমবিপিএস অথবা ত্রিশ এমবিপিএসের বেশি কানেকশনে পাচ্ছেন আইপি টেলিফোনে কথা বলার সুযোগ প্চুর এসএমএস আইপিটিভি এবং রিয়েল আইপিকামেকশন গেইমিয়এর জন্য রয়েছে লোল অ্যাচেন্সি তাহলে ডেরিকেশ নিয়েনে</v>
      </c>
      <c r="D4" s="2" t="str">
        <f>IFERROR(__xludf.DUMMYFUNCTION("""COMPUTED_VALUE"""),"No")</f>
        <v>No</v>
      </c>
      <c r="E4" s="2" t="str">
        <f>IFERROR(__xludf.DUMMYFUNCTION("""COMPUTED_VALUE"""),"No")</f>
        <v>No</v>
      </c>
      <c r="F4" s="2" t="str">
        <f>IFERROR(__xludf.DUMMYFUNCTION("""COMPUTED_VALUE"""),"Yes")</f>
        <v>Yes</v>
      </c>
      <c r="G4" s="2">
        <f>IFERROR(__xludf.DUMMYFUNCTION("""COMPUTED_VALUE"""),0.5)</f>
        <v>0.5</v>
      </c>
      <c r="H4" s="2">
        <f>IFERROR(__xludf.DUMMYFUNCTION("""COMPUTED_VALUE"""),0.5)</f>
        <v>0.5</v>
      </c>
      <c r="I4" s="2">
        <f>IFERROR(__xludf.DUMMYFUNCTION("""COMPUTED_VALUE"""),0.5)</f>
        <v>0.5</v>
      </c>
      <c r="J4" s="2">
        <f>IFERROR(__xludf.DUMMYFUNCTION("""COMPUTED_VALUE"""),0.0)</f>
        <v>0</v>
      </c>
      <c r="K4" s="2" t="str">
        <f>IFERROR(__xludf.DUMMYFUNCTION("""COMPUTED_VALUE"""),"4– Usable, minor flaws Minor background noise.")</f>
        <v>4– Usable, minor flaws Minor background noise.</v>
      </c>
      <c r="L4" s="2" t="str">
        <f>IFERROR(__xludf.DUMMYFUNCTION("""COMPUTED_VALUE"""),"Yes")</f>
        <v>Yes</v>
      </c>
    </row>
    <row r="5">
      <c r="A5" s="2" t="str">
        <f>IFERROR(__xludf.DUMMYFUNCTION("""COMPUTED_VALUE"""),"collect\miscellaneous\Dhaka FM\DFM - AUDIO CLIP (03-01-2023)\0082aaa3-5535-4863-8a03-49c56a2cc04b.flac")</f>
        <v>collect\miscellaneous\Dhaka FM\DFM - AUDIO CLIP (03-01-2023)\0082aaa3-5535-4863-8a03-49c56a2cc04b.flac</v>
      </c>
      <c r="B5" s="2">
        <f>IFERROR(__xludf.DUMMYFUNCTION("""COMPUTED_VALUE"""),30.0)</f>
        <v>30</v>
      </c>
      <c r="C5" s="2" t="str">
        <f>IFERROR(__xludf.DUMMYFUNCTION("""COMPUTED_VALUE"""),"লাইফ হ্যা হাকসহালোফ্ররেন্স ওয়ালকাম ব্যাকচ ঢাকা ফ্ামনায়নি পয়েন্ট ফোন এাক নেশন এক স্টেশনে চলছে লাইফ অ্াক স্রীতার সাথে ডিসেসভারি ইজিপিজেতিং এযান্ড ড্যারিজ ওয়াইনুই মেক আওয়ার রটহি নসালাটি ওই মাচালাগুলো ফেলে না দিয়ে জাস্ট একটু পানিতে ধুয়ে রেখে দিন শুকিয়ে ওই মাস"&amp;"ালাগুলো সেদ্ধ মাসেলাগুলো আদা ছাড়া হ্যা আদা ছাড়া বাকিগুলো আপনার যে চিনির কৌটা আছে না চিনির কোর্টারতা রেখে দেন কিংবা")</f>
        <v>লাইফ হ্যা হাকসহালোফ্ররেন্স ওয়ালকাম ব্যাকচ ঢাকা ফ্ামনায়নি পয়েন্ট ফোন এাক নেশন এক স্টেশনে চলছে লাইফ অ্াক স্রীতার সাথে ডিসেসভারি ইজিপিজেতিং এযান্ড ড্যারিজ ওয়াইনুই মেক আওয়ার রটহি নসালাটি ওই মাচালাগুলো ফেলে না দিয়ে জাস্ট একটু পানিতে ধুয়ে রেখে দিন শুকিয়ে ওই মাসালাগুলো সেদ্ধ মাসেলাগুলো আদা ছাড়া হ্যা আদা ছাড়া বাকিগুলো আপনার যে চিনির কৌটা আছে না চিনির কোর্টারতা রেখে দেন কিংবা</v>
      </c>
      <c r="D5" s="2" t="str">
        <f>IFERROR(__xludf.DUMMYFUNCTION("""COMPUTED_VALUE"""),"Yes")</f>
        <v>Yes</v>
      </c>
      <c r="E5" s="2" t="str">
        <f>IFERROR(__xludf.DUMMYFUNCTION("""COMPUTED_VALUE"""),"No")</f>
        <v>No</v>
      </c>
      <c r="F5" s="2" t="str">
        <f>IFERROR(__xludf.DUMMYFUNCTION("""COMPUTED_VALUE"""),"Yes")</f>
        <v>Yes</v>
      </c>
      <c r="G5" s="2">
        <f>IFERROR(__xludf.DUMMYFUNCTION("""COMPUTED_VALUE"""),0.0)</f>
        <v>0</v>
      </c>
      <c r="H5" s="2">
        <f>IFERROR(__xludf.DUMMYFUNCTION("""COMPUTED_VALUE"""),0.0)</f>
        <v>0</v>
      </c>
      <c r="I5" s="2">
        <f>IFERROR(__xludf.DUMMYFUNCTION("""COMPUTED_VALUE"""),0.5)</f>
        <v>0.5</v>
      </c>
      <c r="J5" s="2">
        <f>IFERROR(__xludf.DUMMYFUNCTION("""COMPUTED_VALUE"""),0.0)</f>
        <v>0</v>
      </c>
      <c r="K5" s="2" t="str">
        <f>IFERROR(__xludf.DUMMYFUNCTION("""COMPUTED_VALUE"""),"2 - Poor quality Noisy, unclear,")</f>
        <v>2 - Poor quality Noisy, unclear,</v>
      </c>
      <c r="L5" s="2" t="str">
        <f>IFERROR(__xludf.DUMMYFUNCTION("""COMPUTED_VALUE"""),"Yes")</f>
        <v>Yes</v>
      </c>
    </row>
    <row r="6">
      <c r="A6" s="2" t="str">
        <f>IFERROR(__xludf.DUMMYFUNCTION("""COMPUTED_VALUE"""),"collect/miscellaneous/Dhaka FM\DFM - AUDIO CLIP (03-01-2023)/00a9409c-0fbf-42e6-b812-57b92653703e.flac")</f>
        <v>collect/miscellaneous/Dhaka FM\DFM - AUDIO CLIP (03-01-2023)/00a9409c-0fbf-42e6-b812-57b92653703e.flac</v>
      </c>
      <c r="B6" s="2">
        <f>IFERROR(__xludf.DUMMYFUNCTION("""COMPUTED_VALUE"""),30.0)</f>
        <v>30</v>
      </c>
      <c r="C6" s="2" t="str">
        <f>IFERROR(__xludf.DUMMYFUNCTION("""COMPUTED_VALUE"""),"ওয়ার অ্যাবার্ডদেড বিউডিফিকে অ্াড দেয়ার বিউডিফিকেশন অব ড্যাম সেলফ সো বোথফর্ডিস ক্যান ট্রায়দিস্থিং ওকে ওকেে অ্যান্ড তারপর দেখতে পাচ্ছি শাহান শহান ওয়াসেফ পড়েছেন গানে রিকেজ করেজেন্ট তনয়েক ওয়াসেভ পড়েছেন কেমন আছে জানতে চেয়েছেন পায়দা ওয়েত নয় ওয়াইডন ডিউগাইজ ডাউন "&amp;"ইউ নেইম ফরেস দ্য নাইকেন রেডেডআউড এাকচিলাইটে আমাকে বেশ কষ্ট ঘরের নামটা বের করতে হচ্ছে সেপ্লিজ রাইড ডাউনিয়র নাইজ এন্ট ফ্রিডি বিরফুল নেইম দেসেভারি ইজিএযাট")</f>
        <v>ওয়ার অ্যাবার্ডদেড বিউডিফিকে অ্াড দেয়ার বিউডিফিকেশন অব ড্যাম সেলফ সো বোথফর্ডিস ক্যান ট্রায়দিস্থিং ওকে ওকেে অ্যান্ড তারপর দেখতে পাচ্ছি শাহান শহান ওয়াসেফ পড়েছেন গানে রিকেজ করেজেন্ট তনয়েক ওয়াসেভ পড়েছেন কেমন আছে জানতে চেয়েছেন পায়দা ওয়েত নয় ওয়াইডন ডিউগাইজ ডাউন ইউ নেইম ফরেস দ্য নাইকেন রেডেডআউড এাকচিলাইটে আমাকে বেশ কষ্ট ঘরের নামটা বের করতে হচ্ছে সেপ্লিজ রাইড ডাউনিয়র নাইজ এন্ট ফ্রিডি বিরফুল নেইম দেসেভারি ইজিএযাট</v>
      </c>
      <c r="D6" s="2" t="str">
        <f>IFERROR(__xludf.DUMMYFUNCTION("""COMPUTED_VALUE"""),"No")</f>
        <v>No</v>
      </c>
      <c r="E6" s="2" t="str">
        <f>IFERROR(__xludf.DUMMYFUNCTION("""COMPUTED_VALUE"""),"Yes")</f>
        <v>Yes</v>
      </c>
      <c r="F6" s="2" t="str">
        <f>IFERROR(__xludf.DUMMYFUNCTION("""COMPUTED_VALUE"""),"Yes")</f>
        <v>Yes</v>
      </c>
      <c r="G6" s="2">
        <f>IFERROR(__xludf.DUMMYFUNCTION("""COMPUTED_VALUE"""),0.0)</f>
        <v>0</v>
      </c>
      <c r="H6" s="2">
        <f>IFERROR(__xludf.DUMMYFUNCTION("""COMPUTED_VALUE"""),0.0)</f>
        <v>0</v>
      </c>
      <c r="I6" s="2">
        <f>IFERROR(__xludf.DUMMYFUNCTION("""COMPUTED_VALUE"""),0.5)</f>
        <v>0.5</v>
      </c>
      <c r="J6" s="2">
        <f>IFERROR(__xludf.DUMMYFUNCTION("""COMPUTED_VALUE"""),0.0)</f>
        <v>0</v>
      </c>
      <c r="K6" s="2" t="str">
        <f>IFERROR(__xludf.DUMMYFUNCTION("""COMPUTED_VALUE"""),"1 - Unusable Severely degraded, or non-Bangla")</f>
        <v>1 - Unusable Severely degraded, or non-Bangla</v>
      </c>
      <c r="L6" s="2" t="str">
        <f>IFERROR(__xludf.DUMMYFUNCTION("""COMPUTED_VALUE"""),"Yes")</f>
        <v>Yes</v>
      </c>
    </row>
    <row r="7">
      <c r="A7" s="2" t="str">
        <f>IFERROR(__xludf.DUMMYFUNCTION("""COMPUTED_VALUE"""),"collect/miscellaneous/Dhaka FM\DFM - AUDIO CLIP (03-01-2023)/00eefae6-21ca-48de-a10a-c8a3c0b82a5b.flac")</f>
        <v>collect/miscellaneous/Dhaka FM\DFM - AUDIO CLIP (03-01-2023)/00eefae6-21ca-48de-a10a-c8a3c0b82a5b.flac</v>
      </c>
      <c r="B7" s="2">
        <f>IFERROR(__xludf.DUMMYFUNCTION("""COMPUTED_VALUE"""),30.0)</f>
        <v>30</v>
      </c>
      <c r="C7" s="2" t="str">
        <f>IFERROR(__xludf.DUMMYFUNCTION("""COMPUTED_VALUE"""),"আজকে আমরা এই আয়োজনটিতে আমাদের সঙ্গে একজন খুবই গুরুত্বপূর্ণ অতিথি এবং আমরা সত্যি আনন্দিতম গর্বিত এই ধরনের আয়োজন করতে পেরে আমাদের সঙ্গে আজকে উপস্থিত থাকবেন স্টসাজিদ অমিথ চিনি আমাদের সঙ্গে রয়েছেন এবং মোহাম্মদ আমরা এই মুহূর্তে তাকে আমাদের এই আয়োজনের যুক্ত করছ"&amp;"ি তিনিই আমাদের সঙ্গে যুক্ত হচ্ছেন আমাদের ফেইসবুক পেয়জে আমাদের সব বন্ধুদেরকে জানায় স্বাগত্ এবং তাকে আমরা একটু ওেলকম করে আসছি স্যার সালামু আলাইকম কেমন আছেন")</f>
        <v>আজকে আমরা এই আয়োজনটিতে আমাদের সঙ্গে একজন খুবই গুরুত্বপূর্ণ অতিথি এবং আমরা সত্যি আনন্দিতম গর্বিত এই ধরনের আয়োজন করতে পেরে আমাদের সঙ্গে আজকে উপস্থিত থাকবেন স্টসাজিদ অমিথ চিনি আমাদের সঙ্গে রয়েছেন এবং মোহাম্মদ আমরা এই মুহূর্তে তাকে আমাদের এই আয়োজনের যুক্ত করছি তিনিই আমাদের সঙ্গে যুক্ত হচ্ছেন আমাদের ফেইসবুক পেয়জে আমাদের সব বন্ধুদেরকে জানায় স্বাগত্ এবং তাকে আমরা একটু ওেলকম করে আসছি স্যার সালামু আলাইকম কেমন আছেন</v>
      </c>
      <c r="D7" s="2" t="str">
        <f>IFERROR(__xludf.DUMMYFUNCTION("""COMPUTED_VALUE"""),"Yes")</f>
        <v>Yes</v>
      </c>
      <c r="E7" s="2" t="str">
        <f>IFERROR(__xludf.DUMMYFUNCTION("""COMPUTED_VALUE"""),"Yes")</f>
        <v>Yes</v>
      </c>
      <c r="F7" s="2" t="str">
        <f>IFERROR(__xludf.DUMMYFUNCTION("""COMPUTED_VALUE"""),"Yes")</f>
        <v>Yes</v>
      </c>
      <c r="G7" s="2">
        <f>IFERROR(__xludf.DUMMYFUNCTION("""COMPUTED_VALUE"""),1.0)</f>
        <v>1</v>
      </c>
      <c r="H7" s="2">
        <f>IFERROR(__xludf.DUMMYFUNCTION("""COMPUTED_VALUE"""),1.0)</f>
        <v>1</v>
      </c>
      <c r="I7" s="2">
        <f>IFERROR(__xludf.DUMMYFUNCTION("""COMPUTED_VALUE"""),1.0)</f>
        <v>1</v>
      </c>
      <c r="J7" s="2">
        <f>IFERROR(__xludf.DUMMYFUNCTION("""COMPUTED_VALUE"""),0.0)</f>
        <v>0</v>
      </c>
      <c r="K7" s="2" t="str">
        <f>IFERROR(__xludf.DUMMYFUNCTION("""COMPUTED_VALUE"""),"5 – High-quality, Clean Bangla speech")</f>
        <v>5 – High-quality, Clean Bangla speech</v>
      </c>
      <c r="L7" s="2" t="str">
        <f>IFERROR(__xludf.DUMMYFUNCTION("""COMPUTED_VALUE"""),"No")</f>
        <v>No</v>
      </c>
    </row>
    <row r="8">
      <c r="A8" s="2" t="str">
        <f>IFERROR(__xludf.DUMMYFUNCTION("""COMPUTED_VALUE"""),"collect/miscellaneous/Dhaka FM\DFM - AUDIO CLIP (03-01-2023)/010a7ed3-e1e7-4888-9e11-bcae0b4bcbda.flac")</f>
        <v>collect/miscellaneous/Dhaka FM\DFM - AUDIO CLIP (03-01-2023)/010a7ed3-e1e7-4888-9e11-bcae0b4bcbda.flac</v>
      </c>
      <c r="B8" s="2">
        <f>IFERROR(__xludf.DUMMYFUNCTION("""COMPUTED_VALUE"""),30.0)</f>
        <v>30</v>
      </c>
      <c r="C8" s="2" t="str">
        <f>IFERROR(__xludf.DUMMYFUNCTION("""COMPUTED_VALUE"""),"সরকারিভাবে পাঁচ থেকে এগারো বছর বয়সীদের সবাইকে ভ্যাকসিন দেওয়া হচ্ছে স্কুলকেন্দ্রীক আর সেজন্য সতেরো ডিজিটের জন্ম নিবন্ধন সনদের মাধ্যমেই রেজিস্ট্রেশন করতে হবে এরপর সেই রেজিস্ট্রেশনের কপি আবিডের স্কুলে জমা দিতে হবে সকূল থেকে নির্দিষ্ট টিকা প্রদান কেন্দ্রের ত্"&amp;" তো জানিয়ে দেওয়া হবে বা তা হলে তো ভালো আমার সন্তানের সুরক্ে চকি ভ্যাকসিনের রেজিস্ট্রেশন করব সুরক্ষা অ্যাপ কিংবা সুরক্ষা ওয়েবসাইট এটু রেজিস্ট্রেশন করতে হবে এছাড়া")</f>
        <v>সরকারিভাবে পাঁচ থেকে এগারো বছর বয়সীদের সবাইকে ভ্যাকসিন দেওয়া হচ্ছে স্কুলকেন্দ্রীক আর সেজন্য সতেরো ডিজিটের জন্ম নিবন্ধন সনদের মাধ্যমেই রেজিস্ট্রেশন করতে হবে এরপর সেই রেজিস্ট্রেশনের কপি আবিডের স্কুলে জমা দিতে হবে সকূল থেকে নির্দিষ্ট টিকা প্রদান কেন্দ্রের ত্ তো জানিয়ে দেওয়া হবে বা তা হলে তো ভালো আমার সন্তানের সুরক্ে চকি ভ্যাকসিনের রেজিস্ট্রেশন করব সুরক্ষা অ্যাপ কিংবা সুরক্ষা ওয়েবসাইট এটু রেজিস্ট্রেশন করতে হবে এছাড়া</v>
      </c>
      <c r="D8" s="2" t="str">
        <f>IFERROR(__xludf.DUMMYFUNCTION("""COMPUTED_VALUE"""),"Yes")</f>
        <v>Yes</v>
      </c>
      <c r="E8" s="2" t="str">
        <f>IFERROR(__xludf.DUMMYFUNCTION("""COMPUTED_VALUE"""),"No")</f>
        <v>No</v>
      </c>
      <c r="F8" s="2" t="str">
        <f>IFERROR(__xludf.DUMMYFUNCTION("""COMPUTED_VALUE"""),"Yes")</f>
        <v>Yes</v>
      </c>
      <c r="G8" s="2">
        <f>IFERROR(__xludf.DUMMYFUNCTION("""COMPUTED_VALUE"""),1.0)</f>
        <v>1</v>
      </c>
      <c r="H8" s="2">
        <f>IFERROR(__xludf.DUMMYFUNCTION("""COMPUTED_VALUE"""),1.0)</f>
        <v>1</v>
      </c>
      <c r="I8" s="2">
        <f>IFERROR(__xludf.DUMMYFUNCTION("""COMPUTED_VALUE"""),1.0)</f>
        <v>1</v>
      </c>
      <c r="J8" s="2">
        <f>IFERROR(__xludf.DUMMYFUNCTION("""COMPUTED_VALUE"""),0.5)</f>
        <v>0.5</v>
      </c>
      <c r="K8" s="2" t="str">
        <f>IFERROR(__xludf.DUMMYFUNCTION("""COMPUTED_VALUE"""),"5 – High-quality, Clean Bangla speech")</f>
        <v>5 – High-quality, Clean Bangla speech</v>
      </c>
      <c r="L8" s="2" t="str">
        <f>IFERROR(__xludf.DUMMYFUNCTION("""COMPUTED_VALUE"""),"No")</f>
        <v>No</v>
      </c>
    </row>
    <row r="9">
      <c r="A9" s="2" t="str">
        <f>IFERROR(__xludf.DUMMYFUNCTION("""COMPUTED_VALUE"""),"collect/miscellaneous/Dhaka FM\DFM - AUDIO CLIP (03-01-2023)/0151e564-0045-45e4-bbb8-4cfe610c3ace.flac")</f>
        <v>collect/miscellaneous/Dhaka FM\DFM - AUDIO CLIP (03-01-2023)/0151e564-0045-45e4-bbb8-4cfe610c3ace.flac</v>
      </c>
      <c r="B9" s="2">
        <f>IFERROR(__xludf.DUMMYFUNCTION("""COMPUTED_VALUE"""),9.728)</f>
        <v>9.728</v>
      </c>
      <c r="C9" s="2" t="str">
        <f>IFERROR(__xludf.DUMMYFUNCTION("""COMPUTED_VALUE"""),"্রেকে সোঅলসুট রা এটু টেক্স মি ওয়ানসিস সোসিক জের এই নাম্বারে ফেইসবুকে ডটকম স্লেষের লাভ ঢাকায় পাচ আমিই পেইজিক কমেন্ট করে নয়ন জয়দা ট্রাক")</f>
        <v>্রেকে সোঅলসুট রা এটু টেক্স মি ওয়ানসিস সোসিক জের এই নাম্বারে ফেইসবুকে ডটকম স্লেষের লাভ ঢাকায় পাচ আমিই পেইজিক কমেন্ট করে নয়ন জয়দা ট্রাক</v>
      </c>
      <c r="D9" s="2" t="str">
        <f>IFERROR(__xludf.DUMMYFUNCTION("""COMPUTED_VALUE"""),"No")</f>
        <v>No</v>
      </c>
      <c r="E9" s="2" t="str">
        <f>IFERROR(__xludf.DUMMYFUNCTION("""COMPUTED_VALUE"""),"Yes")</f>
        <v>Yes</v>
      </c>
      <c r="F9" s="2" t="str">
        <f>IFERROR(__xludf.DUMMYFUNCTION("""COMPUTED_VALUE"""),"Yes")</f>
        <v>Yes</v>
      </c>
      <c r="G9" s="2">
        <f>IFERROR(__xludf.DUMMYFUNCTION("""COMPUTED_VALUE"""),0.0)</f>
        <v>0</v>
      </c>
      <c r="H9" s="2">
        <f>IFERROR(__xludf.DUMMYFUNCTION("""COMPUTED_VALUE"""),0.0)</f>
        <v>0</v>
      </c>
      <c r="I9" s="2">
        <f>IFERROR(__xludf.DUMMYFUNCTION("""COMPUTED_VALUE"""),0.0)</f>
        <v>0</v>
      </c>
      <c r="J9" s="2">
        <f>IFERROR(__xludf.DUMMYFUNCTION("""COMPUTED_VALUE"""),0.0)</f>
        <v>0</v>
      </c>
      <c r="K9" s="2" t="str">
        <f>IFERROR(__xludf.DUMMYFUNCTION("""COMPUTED_VALUE"""),"1 - Unusable Severely degraded, or non-Bangla")</f>
        <v>1 - Unusable Severely degraded, or non-Bangla</v>
      </c>
      <c r="L9" s="2" t="str">
        <f>IFERROR(__xludf.DUMMYFUNCTION("""COMPUTED_VALUE"""),"Yes")</f>
        <v>Yes</v>
      </c>
    </row>
    <row r="10">
      <c r="A10" s="2" t="str">
        <f>IFERROR(__xludf.DUMMYFUNCTION("""COMPUTED_VALUE"""),"collect/miscellaneous/Dhaka FM\DFM - AUDIO CLIP (03-01-2023)/01a83d8d-f184-4909-b11f-131136da92e8.flac")</f>
        <v>collect/miscellaneous/Dhaka FM\DFM - AUDIO CLIP (03-01-2023)/01a83d8d-f184-4909-b11f-131136da92e8.flac</v>
      </c>
      <c r="B10" s="2">
        <f>IFERROR(__xludf.DUMMYFUNCTION("""COMPUTED_VALUE"""),2.163)</f>
        <v>2.163</v>
      </c>
      <c r="C10" s="2" t="str">
        <f>IFERROR(__xludf.DUMMYFUNCTION("""COMPUTED_VALUE"""),"শুনতে থাকুন এক নেইশ না স্টেশন")</f>
        <v>শুনতে থাকুন এক নেইশ না স্টেশন</v>
      </c>
      <c r="D10" s="2" t="str">
        <f>IFERROR(__xludf.DUMMYFUNCTION("""COMPUTED_VALUE"""),"No")</f>
        <v>No</v>
      </c>
      <c r="E10" s="2" t="str">
        <f>IFERROR(__xludf.DUMMYFUNCTION("""COMPUTED_VALUE"""),"No")</f>
        <v>No</v>
      </c>
      <c r="F10" s="2" t="str">
        <f>IFERROR(__xludf.DUMMYFUNCTION("""COMPUTED_VALUE"""),"Yes")</f>
        <v>Yes</v>
      </c>
      <c r="G10" s="2">
        <f>IFERROR(__xludf.DUMMYFUNCTION("""COMPUTED_VALUE"""),0.5)</f>
        <v>0.5</v>
      </c>
      <c r="H10" s="2">
        <f>IFERROR(__xludf.DUMMYFUNCTION("""COMPUTED_VALUE"""),1.0)</f>
        <v>1</v>
      </c>
      <c r="I10" s="2">
        <f>IFERROR(__xludf.DUMMYFUNCTION("""COMPUTED_VALUE"""),0.5)</f>
        <v>0.5</v>
      </c>
      <c r="J10" s="2">
        <f>IFERROR(__xludf.DUMMYFUNCTION("""COMPUTED_VALUE"""),1.0)</f>
        <v>1</v>
      </c>
      <c r="K10" s="2" t="str">
        <f>IFERROR(__xludf.DUMMYFUNCTION("""COMPUTED_VALUE"""),"4– Usable, minor flaws Minor background noise.")</f>
        <v>4– Usable, minor flaws Minor background noise.</v>
      </c>
      <c r="L10" s="2" t="str">
        <f>IFERROR(__xludf.DUMMYFUNCTION("""COMPUTED_VALUE"""),"No")</f>
        <v>No</v>
      </c>
    </row>
    <row r="11">
      <c r="A11" s="2" t="str">
        <f>IFERROR(__xludf.DUMMYFUNCTION("""COMPUTED_VALUE"""),"collect/miscellaneous/Dhaka FM\DFM - AUDIO CLIP (03-01-2023)/021402a9-9cb6-4410-a050-e2363f216240.flac")</f>
        <v>collect/miscellaneous/Dhaka FM\DFM - AUDIO CLIP (03-01-2023)/021402a9-9cb6-4410-a050-e2363f216240.flac</v>
      </c>
      <c r="B11" s="2">
        <f>IFERROR(__xludf.DUMMYFUNCTION("""COMPUTED_VALUE"""),30.0)</f>
        <v>30</v>
      </c>
      <c r="C11" s="2" t="str">
        <f>IFERROR(__xludf.DUMMYFUNCTION("""COMPUTED_VALUE"""),"মধ্যে দশ মিনিট ডুবিয়ে রাখতে হবে তারপর দশ মিনিট পর সেই জুস থেকে উঠিয়ে এটের উপরে দাড়চিনি আছে না দাঁরচিনের গুঁড়া এরে ওপরে ছড়িয়ে দিতে হবে ছড়িয়ে দিয়ে তারপরে আটনাযুক্ত একটা বাটিতে যেখানে আপনার মানে ডি হাইড্রেড ছাটমি আছে ডি হাইড্রেট বোল থাকে তাটা যদি না থাকে তাহ"&amp;"লে একটা চাল নির মধ্যে এটাকে নিয়ে খুব সুন্দর করে ঢেকে ছায়াযুক্ত স্থানে এটাকে চার ঘণ্টা ধরে শোকান পানিটা যেন ঝোরে যে এবং এটা যেন শুকিয়ে যায় শুকিয়ে গেলে দেখবেন")</f>
        <v>মধ্যে দশ মিনিট ডুবিয়ে রাখতে হবে তারপর দশ মিনিট পর সেই জুস থেকে উঠিয়ে এটের উপরে দাড়চিনি আছে না দাঁরচিনের গুঁড়া এরে ওপরে ছড়িয়ে দিতে হবে ছড়িয়ে দিয়ে তারপরে আটনাযুক্ত একটা বাটিতে যেখানে আপনার মানে ডি হাইড্রেড ছাটমি আছে ডি হাইড্রেট বোল থাকে তাটা যদি না থাকে তাহলে একটা চাল নির মধ্যে এটাকে নিয়ে খুব সুন্দর করে ঢেকে ছায়াযুক্ত স্থানে এটাকে চার ঘণ্টা ধরে শোকান পানিটা যেন ঝোরে যে এবং এটা যেন শুকিয়ে যায় শুকিয়ে গেলে দেখবেন</v>
      </c>
      <c r="D11" s="2" t="str">
        <f>IFERROR(__xludf.DUMMYFUNCTION("""COMPUTED_VALUE"""),"No")</f>
        <v>No</v>
      </c>
      <c r="E11" s="2" t="str">
        <f>IFERROR(__xludf.DUMMYFUNCTION("""COMPUTED_VALUE"""),"Yes")</f>
        <v>Yes</v>
      </c>
      <c r="F11" s="2" t="str">
        <f>IFERROR(__xludf.DUMMYFUNCTION("""COMPUTED_VALUE"""),"Yes")</f>
        <v>Yes</v>
      </c>
      <c r="G11" s="2">
        <f>IFERROR(__xludf.DUMMYFUNCTION("""COMPUTED_VALUE"""),1.0)</f>
        <v>1</v>
      </c>
      <c r="H11" s="2">
        <f>IFERROR(__xludf.DUMMYFUNCTION("""COMPUTED_VALUE"""),1.0)</f>
        <v>1</v>
      </c>
      <c r="I11" s="2">
        <f>IFERROR(__xludf.DUMMYFUNCTION("""COMPUTED_VALUE"""),1.0)</f>
        <v>1</v>
      </c>
      <c r="J11" s="2">
        <f>IFERROR(__xludf.DUMMYFUNCTION("""COMPUTED_VALUE"""),0.5)</f>
        <v>0.5</v>
      </c>
      <c r="K11" s="2" t="str">
        <f>IFERROR(__xludf.DUMMYFUNCTION("""COMPUTED_VALUE"""),"5 – High-quality, Clean Bangla speech")</f>
        <v>5 – High-quality, Clean Bangla speech</v>
      </c>
      <c r="L11" s="2" t="str">
        <f>IFERROR(__xludf.DUMMYFUNCTION("""COMPUTED_VALUE"""),"No")</f>
        <v>No</v>
      </c>
    </row>
    <row r="12">
      <c r="A12" s="2" t="str">
        <f>IFERROR(__xludf.DUMMYFUNCTION("""COMPUTED_VALUE"""),"collect/miscellaneous/Dhaka FM\DFM - AUDIO CLIP (03-01-2023)/024f3a63-1d68-4716-ae18-69b1dfec193a.flac")</f>
        <v>collect/miscellaneous/Dhaka FM\DFM - AUDIO CLIP (03-01-2023)/024f3a63-1d68-4716-ae18-69b1dfec193a.flac</v>
      </c>
      <c r="B12" s="2">
        <f>IFERROR(__xludf.DUMMYFUNCTION("""COMPUTED_VALUE"""),30.0)</f>
        <v>30</v>
      </c>
      <c r="C12" s="2" t="str">
        <f>IFERROR(__xludf.DUMMYFUNCTION("""COMPUTED_VALUE"""),"াকে এবং খুব ভালো লাগে তোমাকে ধন্যবাদ তবে আমাদের বারান্দায় তোমার বুদ্ধিমতোই আমরা কিন্তু এর কাজটা করি খুবই হালকা গাছ লাগাই হালকা পুলকা গাছগুলি যেমন হয় ধরো এটা খুব সহজেই দেখতেও সুন্দর লাগে বাতাসও আসে আবার আমরা দেখভাল করতে পারি ভালো হবে অনেক ধন্যবাদ আমাকে ওয়া"&amp;"টস্যেপট করার জন্য বাকিরা ওয়েরারিউগা এইজলেসে জয়েন উইত মি শিক্ষাকে দেখতে পাচেছি গানের অনুরোধ করেছেন ওয়াটসআপেও দেজকেল জিরো ওয়ানিট")</f>
        <v>াকে এবং খুব ভালো লাগে তোমাকে ধন্যবাদ তবে আমাদের বারান্দায় তোমার বুদ্ধিমতোই আমরা কিন্তু এর কাজটা করি খুবই হালকা গাছ লাগাই হালকা পুলকা গাছগুলি যেমন হয় ধরো এটা খুব সহজেই দেখতেও সুন্দর লাগে বাতাসও আসে আবার আমরা দেখভাল করতে পারি ভালো হবে অনেক ধন্যবাদ আমাকে ওয়াটস্যেপট করার জন্য বাকিরা ওয়েরারিউগা এইজলেসে জয়েন উইত মি শিক্ষাকে দেখতে পাচেছি গানের অনুরোধ করেছেন ওয়াটসআপেও দেজকেল জিরো ওয়ানিট</v>
      </c>
      <c r="D12" s="2" t="str">
        <f>IFERROR(__xludf.DUMMYFUNCTION("""COMPUTED_VALUE"""),"No")</f>
        <v>No</v>
      </c>
      <c r="E12" s="2"/>
      <c r="F12" s="2"/>
      <c r="G12" s="2">
        <f>IFERROR(__xludf.DUMMYFUNCTION("""COMPUTED_VALUE"""),0.5)</f>
        <v>0.5</v>
      </c>
      <c r="H12" s="2">
        <f>IFERROR(__xludf.DUMMYFUNCTION("""COMPUTED_VALUE"""),0.5)</f>
        <v>0.5</v>
      </c>
      <c r="I12" s="2">
        <f>IFERROR(__xludf.DUMMYFUNCTION("""COMPUTED_VALUE"""),1.0)</f>
        <v>1</v>
      </c>
      <c r="J12" s="2">
        <f>IFERROR(__xludf.DUMMYFUNCTION("""COMPUTED_VALUE"""),0.0)</f>
        <v>0</v>
      </c>
      <c r="K12" s="2" t="str">
        <f>IFERROR(__xludf.DUMMYFUNCTION("""COMPUTED_VALUE"""),"5 – High-quality, Clean Bangla speech")</f>
        <v>5 – High-quality, Clean Bangla speech</v>
      </c>
      <c r="L12" s="2"/>
    </row>
    <row r="13">
      <c r="A13" s="2" t="str">
        <f>IFERROR(__xludf.DUMMYFUNCTION("""COMPUTED_VALUE"""),"collect/miscellaneous/Dhaka FM\DFM - AUDIO CLIP (03-01-2023)/0253aae1-ce6b-4815-a6e7-ec277398636e.flac")</f>
        <v>collect/miscellaneous/Dhaka FM\DFM - AUDIO CLIP (03-01-2023)/0253aae1-ce6b-4815-a6e7-ec277398636e.flac</v>
      </c>
      <c r="B13" s="2">
        <f>IFERROR(__xludf.DUMMYFUNCTION("""COMPUTED_VALUE"""),30.0)</f>
        <v>30</v>
      </c>
      <c r="C13" s="2" t="str">
        <f>IFERROR(__xludf.DUMMYFUNCTION("""COMPUTED_VALUE"""),"লাইফ হ্যাকস ্াক্স হেইভ রয়েন্স ওয়ালকাম ব্যাক্টর ঢাকা ফ্যামনাইনি পয়েন্ট ফোর অ্যাক নেউশন এক্সটেশনের লাইফ আক্স চলছে রিতার সাথে না ওয়ার্ডে ওয়ান্ডার সে স্কিনের ম স্মুথ নেসের জন্য এবং স্ক্িনটা একটু ট্রাইটেন করার জন্য মানে একটু টাইট করার জন্য ইউকেন্ডু ওয়ানতিং অনে"&amp;"ক কিছুই আমরা অ্যাপ্লাইড করে ওয়াইন অব ট্রাইস আমথিং ন্যাচুরাল দেটা যেটা হচ্ছে তেজ পাতা আছে না তেজপাতা পানিতে বয়েল করে সে বয়েল সেদ্ধ পানিটা তেজপাতা সেদ্ধ পানিা")</f>
        <v>লাইফ হ্যাকস ্াক্স হেইভ রয়েন্স ওয়ালকাম ব্যাক্টর ঢাকা ফ্যামনাইনি পয়েন্ট ফোর অ্যাক নেউশন এক্সটেশনের লাইফ আক্স চলছে রিতার সাথে না ওয়ার্ডে ওয়ান্ডার সে স্কিনের ম স্মুথ নেসের জন্য এবং স্ক্িনটা একটু ট্রাইটেন করার জন্য মানে একটু টাইট করার জন্য ইউকেন্ডু ওয়ানতিং অনেক কিছুই আমরা অ্যাপ্লাইড করে ওয়াইন অব ট্রাইস আমথিং ন্যাচুরাল দেটা যেটা হচ্ছে তেজ পাতা আছে না তেজপাতা পানিতে বয়েল করে সে বয়েল সেদ্ধ পানিটা তেজপাতা সেদ্ধ পানিা</v>
      </c>
      <c r="D13" s="2" t="str">
        <f>IFERROR(__xludf.DUMMYFUNCTION("""COMPUTED_VALUE"""),"No")</f>
        <v>No</v>
      </c>
      <c r="E13" s="2" t="str">
        <f>IFERROR(__xludf.DUMMYFUNCTION("""COMPUTED_VALUE"""),"No")</f>
        <v>No</v>
      </c>
      <c r="F13" s="2" t="str">
        <f>IFERROR(__xludf.DUMMYFUNCTION("""COMPUTED_VALUE"""),"Yes")</f>
        <v>Yes</v>
      </c>
      <c r="G13" s="2">
        <f>IFERROR(__xludf.DUMMYFUNCTION("""COMPUTED_VALUE"""),0.5)</f>
        <v>0.5</v>
      </c>
      <c r="H13" s="2">
        <f>IFERROR(__xludf.DUMMYFUNCTION("""COMPUTED_VALUE"""),0.5)</f>
        <v>0.5</v>
      </c>
      <c r="I13" s="2">
        <f>IFERROR(__xludf.DUMMYFUNCTION("""COMPUTED_VALUE"""),0.5)</f>
        <v>0.5</v>
      </c>
      <c r="J13" s="2">
        <f>IFERROR(__xludf.DUMMYFUNCTION("""COMPUTED_VALUE"""),0.0)</f>
        <v>0</v>
      </c>
      <c r="K13" s="2" t="str">
        <f>IFERROR(__xludf.DUMMYFUNCTION("""COMPUTED_VALUE"""),"3 – Mixed language or inconsistent quality")</f>
        <v>3 – Mixed language or inconsistent quality</v>
      </c>
      <c r="L13" s="2" t="str">
        <f>IFERROR(__xludf.DUMMYFUNCTION("""COMPUTED_VALUE"""),"Yes")</f>
        <v>Yes</v>
      </c>
    </row>
    <row r="14">
      <c r="A14" s="2" t="str">
        <f>IFERROR(__xludf.DUMMYFUNCTION("""COMPUTED_VALUE"""),"collect/miscellaneous/Dhaka FM\DFM - AUDIO CLIP (03-01-2023)/025c06ba-a8a4-43c1-93de-35316b60d08d.flac")</f>
        <v>collect/miscellaneous/Dhaka FM\DFM - AUDIO CLIP (03-01-2023)/025c06ba-a8a4-43c1-93de-35316b60d08d.flac</v>
      </c>
      <c r="B14" s="2">
        <f>IFERROR(__xludf.DUMMYFUNCTION("""COMPUTED_VALUE"""),30.0)</f>
        <v>30</v>
      </c>
      <c r="C14" s="2" t="str">
        <f>IFERROR(__xludf.DUMMYFUNCTION("""COMPUTED_VALUE"""),"ত্যাঙ্কি সোমা শ্রীতাপু র এতক্ষণ আপনারা শুনলেন ঈড শপিং আপডেট নগদের সৌজন্যে নগদের আরও কিছু আপডেট আমি আপনাদেরকে দিব একটু পর্ নগর্যাপ থেকে অ্যাকাউন্ট খুলে নিজ নাম্বারে বিশ টাকান ল রিচার্জে বিশ টাকা ক্যাশ ব্যাক দেশী নগরে বেশি লাভ নগুদ ঈদ শোপিং অপ্রিট ডানেশন সে"&amp;"ন্ট ঢাকায় ফার্ম নাইটি পয়েন্ট ফোর সাধী আছি আমি পিং কিছু আপনাদেরকে জানিয়ে দিচ্ছি ইসলামি এমএফএস অ্যাকাউন্ট একটি শক্তিশালী সরিয়া কমিটির")</f>
        <v>ত্যাঙ্কি সোমা শ্রীতাপু র এতক্ষণ আপনারা শুনলেন ঈড শপিং আপডেট নগদের সৌজন্যে নগদের আরও কিছু আপডেট আমি আপনাদেরকে দিব একটু পর্ নগর্যাপ থেকে অ্যাকাউন্ট খুলে নিজ নাম্বারে বিশ টাকান ল রিচার্জে বিশ টাকা ক্যাশ ব্যাক দেশী নগরে বেশি লাভ নগুদ ঈদ শোপিং অপ্রিট ডানেশন সেন্ট ঢাকায় ফার্ম নাইটি পয়েন্ট ফোর সাধী আছি আমি পিং কিছু আপনাদেরকে জানিয়ে দিচ্ছি ইসলামি এমএফএস অ্যাকাউন্ট একটি শক্তিশালী সরিয়া কমিটির</v>
      </c>
      <c r="D14" s="2" t="str">
        <f>IFERROR(__xludf.DUMMYFUNCTION("""COMPUTED_VALUE"""),"No")</f>
        <v>No</v>
      </c>
      <c r="E14" s="2" t="str">
        <f>IFERROR(__xludf.DUMMYFUNCTION("""COMPUTED_VALUE"""),"No")</f>
        <v>No</v>
      </c>
      <c r="F14" s="2" t="str">
        <f>IFERROR(__xludf.DUMMYFUNCTION("""COMPUTED_VALUE"""),"Yes")</f>
        <v>Yes</v>
      </c>
      <c r="G14" s="2">
        <f>IFERROR(__xludf.DUMMYFUNCTION("""COMPUTED_VALUE"""),0.5)</f>
        <v>0.5</v>
      </c>
      <c r="H14" s="2">
        <f>IFERROR(__xludf.DUMMYFUNCTION("""COMPUTED_VALUE"""),0.5)</f>
        <v>0.5</v>
      </c>
      <c r="I14" s="2">
        <f>IFERROR(__xludf.DUMMYFUNCTION("""COMPUTED_VALUE"""),1.0)</f>
        <v>1</v>
      </c>
      <c r="J14" s="2">
        <f>IFERROR(__xludf.DUMMYFUNCTION("""COMPUTED_VALUE"""),0.5)</f>
        <v>0.5</v>
      </c>
      <c r="K14" s="2" t="str">
        <f>IFERROR(__xludf.DUMMYFUNCTION("""COMPUTED_VALUE"""),"4– Usable, minor flaws Minor background noise.")</f>
        <v>4– Usable, minor flaws Minor background noise.</v>
      </c>
      <c r="L14" s="2" t="str">
        <f>IFERROR(__xludf.DUMMYFUNCTION("""COMPUTED_VALUE"""),"No")</f>
        <v>No</v>
      </c>
    </row>
    <row r="15">
      <c r="A15" s="2" t="str">
        <f>IFERROR(__xludf.DUMMYFUNCTION("""COMPUTED_VALUE"""),"collect/miscellaneous/Dhaka FM\DFM - AUDIO CLIP (03-01-2023)/02659e9b-7e22-4184-bc77-0dce15d6cbee.flac")</f>
        <v>collect/miscellaneous/Dhaka FM\DFM - AUDIO CLIP (03-01-2023)/02659e9b-7e22-4184-bc77-0dce15d6cbee.flac</v>
      </c>
      <c r="B15" s="2">
        <f>IFERROR(__xludf.DUMMYFUNCTION("""COMPUTED_VALUE"""),30.0)</f>
        <v>30</v>
      </c>
      <c r="C15" s="2" t="str">
        <f>IFERROR(__xludf.DUMMYFUNCTION("""COMPUTED_VALUE"""),"হুইচ করে বাচারটা বের করে নেন কিন্তু আমার মতো যারা ওই যে আনকোরা যারা আছে একদম নতুন রাধুনী যারা বা শখ করে যারা এটা ওটা বানাতে যায় ইউটিউব দেখে বা শুনে কিংবা টিকটক দেখে তাদের জন্য বলছি ইজ ভ্যারি ইজিতিং এখন দুপুর ক্রিম কিনতেই পাওয়া যায় একদম ফ্রেইস ক্রিম কিনতে "&amp;"পাওয়া যায় দোকানে সে ক্রিমটে এনে হুইস করে নিন অনেকক্ষণ হুইচ করতে করতে যেটা হবে ইউইল গেরিওর বাডার ফ্রেশ বার্ডার দেন ইউওয়াশেড প্রপালি সাবান পাড়িতে না")</f>
        <v>হুইচ করে বাচারটা বের করে নেন কিন্তু আমার মতো যারা ওই যে আনকোরা যারা আছে একদম নতুন রাধুনী যারা বা শখ করে যারা এটা ওটা বানাতে যায় ইউটিউব দেখে বা শুনে কিংবা টিকটক দেখে তাদের জন্য বলছি ইজ ভ্যারি ইজিতিং এখন দুপুর ক্রিম কিনতেই পাওয়া যায় একদম ফ্রেইস ক্রিম কিনতে পাওয়া যায় দোকানে সে ক্রিমটে এনে হুইস করে নিন অনেকক্ষণ হুইচ করতে করতে যেটা হবে ইউইল গেরিওর বাডার ফ্রেশ বার্ডার দেন ইউওয়াশেড প্রপালি সাবান পাড়িতে না</v>
      </c>
      <c r="D15" s="2" t="str">
        <f>IFERROR(__xludf.DUMMYFUNCTION("""COMPUTED_VALUE"""),"No")</f>
        <v>No</v>
      </c>
      <c r="E15" s="2" t="str">
        <f>IFERROR(__xludf.DUMMYFUNCTION("""COMPUTED_VALUE"""),"Yes")</f>
        <v>Yes</v>
      </c>
      <c r="F15" s="2" t="str">
        <f>IFERROR(__xludf.DUMMYFUNCTION("""COMPUTED_VALUE"""),"Yes")</f>
        <v>Yes</v>
      </c>
      <c r="G15" s="2">
        <f>IFERROR(__xludf.DUMMYFUNCTION("""COMPUTED_VALUE"""),0.5)</f>
        <v>0.5</v>
      </c>
      <c r="H15" s="2">
        <f>IFERROR(__xludf.DUMMYFUNCTION("""COMPUTED_VALUE"""),0.5)</f>
        <v>0.5</v>
      </c>
      <c r="I15" s="2">
        <f>IFERROR(__xludf.DUMMYFUNCTION("""COMPUTED_VALUE"""),1.0)</f>
        <v>1</v>
      </c>
      <c r="J15" s="2">
        <f>IFERROR(__xludf.DUMMYFUNCTION("""COMPUTED_VALUE"""),0.0)</f>
        <v>0</v>
      </c>
      <c r="K15" s="2" t="str">
        <f>IFERROR(__xludf.DUMMYFUNCTION("""COMPUTED_VALUE"""),"3 – Mixed language or inconsistent quality")</f>
        <v>3 – Mixed language or inconsistent quality</v>
      </c>
      <c r="L15" s="2" t="str">
        <f>IFERROR(__xludf.DUMMYFUNCTION("""COMPUTED_VALUE"""),"Yes")</f>
        <v>Yes</v>
      </c>
    </row>
    <row r="16">
      <c r="A16" s="2" t="str">
        <f>IFERROR(__xludf.DUMMYFUNCTION("""COMPUTED_VALUE"""),"collect/miscellaneous/Dhaka FM\DFM - AUDIO CLIP (03-01-2023)/028f3100-a2b5-43c3-9439-981c22d41b23.flac")</f>
        <v>collect/miscellaneous/Dhaka FM\DFM - AUDIO CLIP (03-01-2023)/028f3100-a2b5-43c3-9439-981c22d41b23.flac</v>
      </c>
      <c r="B16" s="2">
        <f>IFERROR(__xludf.DUMMYFUNCTION("""COMPUTED_VALUE"""),7.491)</f>
        <v>7.491</v>
      </c>
      <c r="C16" s="2" t="str">
        <f>IFERROR(__xludf.DUMMYFUNCTION("""COMPUTED_VALUE"""),"মানে প্যাচেজ থাকছেন আই স্ক্রিনে ইউক্েন ট্রাইদিস গার্লস অন লাইডিস সাউকে অকে নেয়েন জায়দে ট্রাক")</f>
        <v>মানে প্যাচেজ থাকছেন আই স্ক্রিনে ইউক্েন ট্রাইদিস গার্লস অন লাইডিস সাউকে অকে নেয়েন জায়দে ট্রাক</v>
      </c>
      <c r="D16" s="2" t="str">
        <f>IFERROR(__xludf.DUMMYFUNCTION("""COMPUTED_VALUE"""),"No")</f>
        <v>No</v>
      </c>
      <c r="E16" s="2" t="str">
        <f>IFERROR(__xludf.DUMMYFUNCTION("""COMPUTED_VALUE"""),"No")</f>
        <v>No</v>
      </c>
      <c r="F16" s="2" t="str">
        <f>IFERROR(__xludf.DUMMYFUNCTION("""COMPUTED_VALUE"""),"Yes")</f>
        <v>Yes</v>
      </c>
      <c r="G16" s="2">
        <f>IFERROR(__xludf.DUMMYFUNCTION("""COMPUTED_VALUE"""),0.5)</f>
        <v>0.5</v>
      </c>
      <c r="H16" s="2">
        <f>IFERROR(__xludf.DUMMYFUNCTION("""COMPUTED_VALUE"""),0.5)</f>
        <v>0.5</v>
      </c>
      <c r="I16" s="2">
        <f>IFERROR(__xludf.DUMMYFUNCTION("""COMPUTED_VALUE"""),1.0)</f>
        <v>1</v>
      </c>
      <c r="J16" s="2">
        <f>IFERROR(__xludf.DUMMYFUNCTION("""COMPUTED_VALUE"""),0.5)</f>
        <v>0.5</v>
      </c>
      <c r="K16" s="2" t="str">
        <f>IFERROR(__xludf.DUMMYFUNCTION("""COMPUTED_VALUE"""),"3 – Mixed language or inconsistent quality")</f>
        <v>3 – Mixed language or inconsistent quality</v>
      </c>
      <c r="L16" s="2" t="str">
        <f>IFERROR(__xludf.DUMMYFUNCTION("""COMPUTED_VALUE"""),"Yes")</f>
        <v>Yes</v>
      </c>
    </row>
    <row r="17">
      <c r="A17" s="2" t="str">
        <f>IFERROR(__xludf.DUMMYFUNCTION("""COMPUTED_VALUE"""),"collect/miscellaneous/Dhaka FM\DFM - AUDIO CLIP (03-01-2023)/028ff579-bf24-4aab-b38f-19437787da26.flac")</f>
        <v>collect/miscellaneous/Dhaka FM\DFM - AUDIO CLIP (03-01-2023)/028ff579-bf24-4aab-b38f-19437787da26.flac</v>
      </c>
      <c r="B17" s="2">
        <f>IFERROR(__xludf.DUMMYFUNCTION("""COMPUTED_VALUE"""),30.0)</f>
        <v>30</v>
      </c>
      <c r="C17" s="2" t="str">
        <f>IFERROR(__xludf.DUMMYFUNCTION("""COMPUTED_VALUE"""),"ডিম ডিমের কথা যদি বলি সেটা আমি কিন্তু প্রেমটাকে ডিমের সাথে তুলনা করছি না তবে ডিমের প্রতি যাদের প্রেম আছে সেই কথাটা বলছি ডিমের প্রতি যাদের প্রেম আছে ডিম ছাড়া যাদের চলে না তাদের জন্য বলছি যে আপনি পচা ডিম এবং ভালোডিম কি করে ছিনবেন এক গ্লাস দুইটা গ্লাস নেবেন "&amp;"দুই গ্লাস পানির মধ্যে এক টেবেল চামচ লবণ দুইটার মধ্যে দুই টেবল চামচ লবণ গুলিয়ে নিবেন গুলিয়ে ডিম দুইটা দিয়ে দিবেন তারপর যেটা ফ্রেশএগ সেটা ডুবে যাবে আর যেটা পচাডিম সেটা ভেসি ে")</f>
        <v>ডিম ডিমের কথা যদি বলি সেটা আমি কিন্তু প্রেমটাকে ডিমের সাথে তুলনা করছি না তবে ডিমের প্রতি যাদের প্রেম আছে সেই কথাটা বলছি ডিমের প্রতি যাদের প্রেম আছে ডিম ছাড়া যাদের চলে না তাদের জন্য বলছি যে আপনি পচা ডিম এবং ভালোডিম কি করে ছিনবেন এক গ্লাস দুইটা গ্লাস নেবেন দুই গ্লাস পানির মধ্যে এক টেবেল চামচ লবণ দুইটার মধ্যে দুই টেবল চামচ লবণ গুলিয়ে নিবেন গুলিয়ে ডিম দুইটা দিয়ে দিবেন তারপর যেটা ফ্রেশএগ সেটা ডুবে যাবে আর যেটা পচাডিম সেটা ভেসি ে</v>
      </c>
      <c r="D17" s="2" t="str">
        <f>IFERROR(__xludf.DUMMYFUNCTION("""COMPUTED_VALUE"""),"Yes")</f>
        <v>Yes</v>
      </c>
      <c r="E17" s="2" t="str">
        <f>IFERROR(__xludf.DUMMYFUNCTION("""COMPUTED_VALUE"""),"Yes")</f>
        <v>Yes</v>
      </c>
      <c r="F17" s="2" t="str">
        <f>IFERROR(__xludf.DUMMYFUNCTION("""COMPUTED_VALUE"""),"Yes")</f>
        <v>Yes</v>
      </c>
      <c r="G17" s="2">
        <f>IFERROR(__xludf.DUMMYFUNCTION("""COMPUTED_VALUE"""),1.0)</f>
        <v>1</v>
      </c>
      <c r="H17" s="2">
        <f>IFERROR(__xludf.DUMMYFUNCTION("""COMPUTED_VALUE"""),0.5)</f>
        <v>0.5</v>
      </c>
      <c r="I17" s="2">
        <f>IFERROR(__xludf.DUMMYFUNCTION("""COMPUTED_VALUE"""),1.0)</f>
        <v>1</v>
      </c>
      <c r="J17" s="2">
        <f>IFERROR(__xludf.DUMMYFUNCTION("""COMPUTED_VALUE"""),0.0)</f>
        <v>0</v>
      </c>
      <c r="K17" s="2" t="str">
        <f>IFERROR(__xludf.DUMMYFUNCTION("""COMPUTED_VALUE"""),"5 – High-quality, Clean Bangla speech")</f>
        <v>5 – High-quality, Clean Bangla speech</v>
      </c>
      <c r="L17" s="2" t="str">
        <f>IFERROR(__xludf.DUMMYFUNCTION("""COMPUTED_VALUE"""),"No")</f>
        <v>No</v>
      </c>
    </row>
    <row r="18">
      <c r="A18" s="2" t="str">
        <f>IFERROR(__xludf.DUMMYFUNCTION("""COMPUTED_VALUE"""),"collect/miscellaneous/Dhaka FM\DFM - AUDIO CLIP (03-01-2023)/029a858f-3c82-46e9-baf8-48278f46a6fd.flac")</f>
        <v>collect/miscellaneous/Dhaka FM\DFM - AUDIO CLIP (03-01-2023)/029a858f-3c82-46e9-baf8-48278f46a6fd.flac</v>
      </c>
      <c r="B18" s="2">
        <f>IFERROR(__xludf.DUMMYFUNCTION("""COMPUTED_VALUE"""),30.0)</f>
        <v>30</v>
      </c>
      <c r="C18" s="2" t="str">
        <f>IFERROR(__xludf.DUMMYFUNCTION("""COMPUTED_VALUE"""),"লাইফ হ্যাকস হ্ালো মাইডিয়াল লাভলিপিপল ইস্টাইম ফরে া সাম্মাসেইজেসে শকুন তলা বাস কুন তলা আপনার নামটা সুন্দর শেকুন তলা অনেকদিন পরে নাপডা শুনলাম আপনি লিখেছেন কি স্ত্রী পরিষ্কার করার আমে হর্টা আপনার ভালো লেগেছে ও ধন্যবাদ অনেক ধন্যবাদ তারপর দেখতে পাচ্ছি অপু এসএম"&amp;"এনস করেছেন গানের রিকোজ করেছে না ওপু আজকে কিসব ইতিহাসিক নামগুলো আমার সাথে যোগাযোগ করছে আমার বেশ ভালোই লাগছে নিজেকে বেশ ইতিহাসি")</f>
        <v>লাইফ হ্যাকস হ্ালো মাইডিয়াল লাভলিপিপল ইস্টাইম ফরে া সাম্মাসেইজেসে শকুন তলা বাস কুন তলা আপনার নামটা সুন্দর শেকুন তলা অনেকদিন পরে নাপডা শুনলাম আপনি লিখেছেন কি স্ত্রী পরিষ্কার করার আমে হর্টা আপনার ভালো লেগেছে ও ধন্যবাদ অনেক ধন্যবাদ তারপর দেখতে পাচ্ছি অপু এসএমএনস করেছেন গানের রিকোজ করেছে না ওপু আজকে কিসব ইতিহাসিক নামগুলো আমার সাথে যোগাযোগ করছে আমার বেশ ভালোই লাগছে নিজেকে বেশ ইতিহাসি</v>
      </c>
      <c r="D18" s="2" t="str">
        <f>IFERROR(__xludf.DUMMYFUNCTION("""COMPUTED_VALUE"""),"No")</f>
        <v>No</v>
      </c>
      <c r="E18" s="2" t="str">
        <f>IFERROR(__xludf.DUMMYFUNCTION("""COMPUTED_VALUE"""),"Yes")</f>
        <v>Yes</v>
      </c>
      <c r="F18" s="2" t="str">
        <f>IFERROR(__xludf.DUMMYFUNCTION("""COMPUTED_VALUE"""),"Yes")</f>
        <v>Yes</v>
      </c>
      <c r="G18" s="2">
        <f>IFERROR(__xludf.DUMMYFUNCTION("""COMPUTED_VALUE"""),1.0)</f>
        <v>1</v>
      </c>
      <c r="H18" s="2">
        <f>IFERROR(__xludf.DUMMYFUNCTION("""COMPUTED_VALUE"""),1.0)</f>
        <v>1</v>
      </c>
      <c r="I18" s="2">
        <f>IFERROR(__xludf.DUMMYFUNCTION("""COMPUTED_VALUE"""),1.0)</f>
        <v>1</v>
      </c>
      <c r="J18" s="2">
        <f>IFERROR(__xludf.DUMMYFUNCTION("""COMPUTED_VALUE"""),0.0)</f>
        <v>0</v>
      </c>
      <c r="K18" s="2" t="str">
        <f>IFERROR(__xludf.DUMMYFUNCTION("""COMPUTED_VALUE"""),"4– Usable, minor flaws Minor background noise.")</f>
        <v>4– Usable, minor flaws Minor background noise.</v>
      </c>
      <c r="L18" s="2" t="str">
        <f>IFERROR(__xludf.DUMMYFUNCTION("""COMPUTED_VALUE"""),"Yes")</f>
        <v>Yes</v>
      </c>
    </row>
    <row r="19">
      <c r="A19" s="2" t="str">
        <f>IFERROR(__xludf.DUMMYFUNCTION("""COMPUTED_VALUE"""),"collect/miscellaneous/Dhaka FM\DFM - AUDIO CLIP (03-01-2023)/02f26498-bb26-4baa-a29d-2a1a201e21f5.flac")</f>
        <v>collect/miscellaneous/Dhaka FM\DFM - AUDIO CLIP (03-01-2023)/02f26498-bb26-4baa-a29d-2a1a201e21f5.flac</v>
      </c>
      <c r="B19" s="2">
        <f>IFERROR(__xludf.DUMMYFUNCTION("""COMPUTED_VALUE"""),30.0)</f>
        <v>30</v>
      </c>
      <c r="C19" s="2" t="str">
        <f>IFERROR(__xludf.DUMMYFUNCTION("""COMPUTED_VALUE"""),"লাইফ ারেক্স কস হ্যালো ফ্রয়েন্স ওয়াল কামডুড ঢাকা ফাম নায় ফোর এক নেশন এক স্টেশনে রিতা জলে এসেছে বং শুরু হয়ে গেল লাইফ অ্যাকস লাইফ এক্সেস শুরুতে আপনাকে যে হ্াকটা দিয়ে শুরু করতে চাই সেটা হচ্ছে যে অনেক সেব আমরা বাব্যথা ব্যথা পেলে গায়ে বিভিন্ন জায়গায় দেখবেন হাতে"&amp;" পায়ে কিংবা পিঠে এরকম নীল চে দান বাগ হয়ে যায় ব্যথা পাওয়ার পরে ওই ব্যথার জায়গাটা নীল যে ডাক্তার আপনি কী করে রিমোভ করতে পারেন ব্যারি ইজেটুরি মোভিড")</f>
        <v>লাইফ ারেক্স কস হ্যালো ফ্রয়েন্স ওয়াল কামডুড ঢাকা ফাম নায় ফোর এক নেশন এক স্টেশনে রিতা জলে এসেছে বং শুরু হয়ে গেল লাইফ অ্যাকস লাইফ এক্সেস শুরুতে আপনাকে যে হ্াকটা দিয়ে শুরু করতে চাই সেটা হচ্ছে যে অনেক সেব আমরা বাব্যথা ব্যথা পেলে গায়ে বিভিন্ন জায়গায় দেখবেন হাতে পায়ে কিংবা পিঠে এরকম নীল চে দান বাগ হয়ে যায় ব্যথা পাওয়ার পরে ওই ব্যথার জায়গাটা নীল যে ডাক্তার আপনি কী করে রিমোভ করতে পারেন ব্যারি ইজেটুরি মোভিড</v>
      </c>
      <c r="D19" s="2" t="str">
        <f>IFERROR(__xludf.DUMMYFUNCTION("""COMPUTED_VALUE"""),"No")</f>
        <v>No</v>
      </c>
      <c r="E19" s="2" t="str">
        <f>IFERROR(__xludf.DUMMYFUNCTION("""COMPUTED_VALUE"""),"No")</f>
        <v>No</v>
      </c>
      <c r="F19" s="2" t="str">
        <f>IFERROR(__xludf.DUMMYFUNCTION("""COMPUTED_VALUE"""),"Yes")</f>
        <v>Yes</v>
      </c>
      <c r="G19" s="2">
        <f>IFERROR(__xludf.DUMMYFUNCTION("""COMPUTED_VALUE"""),0.5)</f>
        <v>0.5</v>
      </c>
      <c r="H19" s="2">
        <f>IFERROR(__xludf.DUMMYFUNCTION("""COMPUTED_VALUE"""),0.5)</f>
        <v>0.5</v>
      </c>
      <c r="I19" s="2">
        <f>IFERROR(__xludf.DUMMYFUNCTION("""COMPUTED_VALUE"""),0.5)</f>
        <v>0.5</v>
      </c>
      <c r="J19" s="2">
        <f>IFERROR(__xludf.DUMMYFUNCTION("""COMPUTED_VALUE"""),0.0)</f>
        <v>0</v>
      </c>
      <c r="K19" s="2" t="str">
        <f>IFERROR(__xludf.DUMMYFUNCTION("""COMPUTED_VALUE"""),"4– Usable, minor flaws Minor background noise.")</f>
        <v>4– Usable, minor flaws Minor background noise.</v>
      </c>
      <c r="L19" s="2" t="str">
        <f>IFERROR(__xludf.DUMMYFUNCTION("""COMPUTED_VALUE"""),"Yes")</f>
        <v>Yes</v>
      </c>
    </row>
    <row r="20">
      <c r="A20" s="2" t="str">
        <f>IFERROR(__xludf.DUMMYFUNCTION("""COMPUTED_VALUE"""),"collect/miscellaneous/Dhaka FM\DFM - AUDIO CLIP (03-01-2023)/02f49dfe-43af-4507-93ba-9e02c9470d7b.flac")</f>
        <v>collect/miscellaneous/Dhaka FM\DFM - AUDIO CLIP (03-01-2023)/02f49dfe-43af-4507-93ba-9e02c9470d7b.flac</v>
      </c>
      <c r="B20" s="2">
        <f>IFERROR(__xludf.DUMMYFUNCTION("""COMPUTED_VALUE"""),30.0)</f>
        <v>30</v>
      </c>
      <c r="C20" s="2" t="str">
        <f>IFERROR(__xludf.DUMMYFUNCTION("""COMPUTED_VALUE"""),"লাইফ হ্যাকস ্াক্স এই গাইজেন্ গা্লস ওয়েলকাম ব্যাকটু ঢাকা ফার্ন াইনি পয়েন্ট ফোর লাইফ অ্াক্সেরিতে আছি আপনার সাথে নাইকেন্সি সাম ওয়া স্াপস ওয়াজসঅ্যাপে যারা লিখেছেন রাত্রি লিখেছেন আপু পাঁচতার ব্যাপারটা মননেক ভালো লেগেছে আমি আজকেই ট্রাই করব আবিদা সুলতানা সুমী লি"&amp;"খেছেন যে আপু আমি তো অলোএস পাঁচ তাঘাই কিন্তু আপনার এই ট্রিকটা আমি ট্রাইকর বল থ্যাংকেউ ভ্যেরি মাস্ট্রাইকরে আমাকে জানিয়েন আর ইন্দা মিন্টেম রেস্ট্রোফিও ওয়াসেপ নাম্বার যেটা হচ্ে সেটা জানিয়ে দেই")</f>
        <v>লাইফ হ্যাকস ্াক্স এই গাইজেন্ গা্লস ওয়েলকাম ব্যাকটু ঢাকা ফার্ন াইনি পয়েন্ট ফোর লাইফ অ্াক্সেরিতে আছি আপনার সাথে নাইকেন্সি সাম ওয়া স্াপস ওয়াজসঅ্যাপে যারা লিখেছেন রাত্রি লিখেছেন আপু পাঁচতার ব্যাপারটা মননেক ভালো লেগেছে আমি আজকেই ট্রাই করব আবিদা সুলতানা সুমী লিখেছেন যে আপু আমি তো অলোএস পাঁচ তাঘাই কিন্তু আপনার এই ট্রিকটা আমি ট্রাইকর বল থ্যাংকেউ ভ্যেরি মাস্ট্রাইকরে আমাকে জানিয়েন আর ইন্দা মিন্টেম রেস্ট্রোফিও ওয়াসেপ নাম্বার যেটা হচ্ে সেটা জানিয়ে দেই</v>
      </c>
      <c r="D20" s="2" t="str">
        <f>IFERROR(__xludf.DUMMYFUNCTION("""COMPUTED_VALUE"""),"No")</f>
        <v>No</v>
      </c>
      <c r="E20" s="2" t="str">
        <f>IFERROR(__xludf.DUMMYFUNCTION("""COMPUTED_VALUE"""),"No")</f>
        <v>No</v>
      </c>
      <c r="F20" s="2" t="str">
        <f>IFERROR(__xludf.DUMMYFUNCTION("""COMPUTED_VALUE"""),"Yes")</f>
        <v>Yes</v>
      </c>
      <c r="G20" s="2">
        <f>IFERROR(__xludf.DUMMYFUNCTION("""COMPUTED_VALUE"""),0.0)</f>
        <v>0</v>
      </c>
      <c r="H20" s="2">
        <f>IFERROR(__xludf.DUMMYFUNCTION("""COMPUTED_VALUE"""),0.5)</f>
        <v>0.5</v>
      </c>
      <c r="I20" s="2">
        <f>IFERROR(__xludf.DUMMYFUNCTION("""COMPUTED_VALUE"""),0.5)</f>
        <v>0.5</v>
      </c>
      <c r="J20" s="2">
        <f>IFERROR(__xludf.DUMMYFUNCTION("""COMPUTED_VALUE"""),0.0)</f>
        <v>0</v>
      </c>
      <c r="K20" s="2" t="str">
        <f>IFERROR(__xludf.DUMMYFUNCTION("""COMPUTED_VALUE"""),"3 – Mixed language or inconsistent quality")</f>
        <v>3 – Mixed language or inconsistent quality</v>
      </c>
      <c r="L20" s="2" t="str">
        <f>IFERROR(__xludf.DUMMYFUNCTION("""COMPUTED_VALUE"""),"Yes")</f>
        <v>Yes</v>
      </c>
    </row>
    <row r="21">
      <c r="A21" s="2" t="str">
        <f>IFERROR(__xludf.DUMMYFUNCTION("""COMPUTED_VALUE"""),"collect/miscellaneous/Dhaka FM\DFM - AUDIO CLIP (03-01-2023)/02f6dd0f-6c62-4ba0-b834-b330ab2539ff.flac")</f>
        <v>collect/miscellaneous/Dhaka FM\DFM - AUDIO CLIP (03-01-2023)/02f6dd0f-6c62-4ba0-b834-b330ab2539ff.flac</v>
      </c>
      <c r="B21" s="2">
        <f>IFERROR(__xludf.DUMMYFUNCTION("""COMPUTED_VALUE"""),30.0)</f>
        <v>30</v>
      </c>
      <c r="C21" s="2" t="str">
        <f>IFERROR(__xludf.DUMMYFUNCTION("""COMPUTED_VALUE"""),"মিশিয়ে খেলে কিন্তু আপনি বেশ আরাম পেতে পারেন এছাড়াও দ্ুধের সঙ্গে রসুন মিশিয়ে খেলে শরীরে যে খারাপ কোলেস্ট্রেলগুলো আছে সেগুলো কমাতেও সাহায্যি করে তো আপনি চেষ্টা করে দেখতে পারেন কিন্তু প্রাণ ফ্রোটো হেল টিপস এনিটাইম ফ্রোটটাইম রানফ্রুটি হেলথ টিপস এনি টাইম ফ্রুট"&amp;"োটাইম এই রমঝান মাসে সারাদিন রোজা রাখার পর নিজেকে হেলদি এবং ফিট ্রাখতে ইফটারে রাখুন ব্রাউ্ডফ্রুটো ব্রাউন্ ফ্লুট হতে আছে ভি")</f>
        <v>মিশিয়ে খেলে কিন্তু আপনি বেশ আরাম পেতে পারেন এছাড়াও দ্ুধের সঙ্গে রসুন মিশিয়ে খেলে শরীরে যে খারাপ কোলেস্ট্রেলগুলো আছে সেগুলো কমাতেও সাহায্যি করে তো আপনি চেষ্টা করে দেখতে পারেন কিন্তু প্রাণ ফ্রোটো হেল টিপস এনিটাইম ফ্রোটটাইম রানফ্রুটি হেলথ টিপস এনি টাইম ফ্রুটোটাইম এই রমঝান মাসে সারাদিন রোজা রাখার পর নিজেকে হেলদি এবং ফিট ্রাখতে ইফটারে রাখুন ব্রাউ্ডফ্রুটো ব্রাউন্ ফ্লুট হতে আছে ভি</v>
      </c>
      <c r="D21" s="2" t="str">
        <f>IFERROR(__xludf.DUMMYFUNCTION("""COMPUTED_VALUE"""),"No")</f>
        <v>No</v>
      </c>
      <c r="E21" s="2" t="str">
        <f>IFERROR(__xludf.DUMMYFUNCTION("""COMPUTED_VALUE"""),"No")</f>
        <v>No</v>
      </c>
      <c r="F21" s="2" t="str">
        <f>IFERROR(__xludf.DUMMYFUNCTION("""COMPUTED_VALUE"""),"Yes")</f>
        <v>Yes</v>
      </c>
      <c r="G21" s="2">
        <f>IFERROR(__xludf.DUMMYFUNCTION("""COMPUTED_VALUE"""),1.0)</f>
        <v>1</v>
      </c>
      <c r="H21" s="2">
        <f>IFERROR(__xludf.DUMMYFUNCTION("""COMPUTED_VALUE"""),0.5)</f>
        <v>0.5</v>
      </c>
      <c r="I21" s="2">
        <f>IFERROR(__xludf.DUMMYFUNCTION("""COMPUTED_VALUE"""),0.5)</f>
        <v>0.5</v>
      </c>
      <c r="J21" s="2">
        <f>IFERROR(__xludf.DUMMYFUNCTION("""COMPUTED_VALUE"""),0.0)</f>
        <v>0</v>
      </c>
      <c r="K21" s="2" t="str">
        <f>IFERROR(__xludf.DUMMYFUNCTION("""COMPUTED_VALUE"""),"4– Usable, minor flaws Minor background noise.")</f>
        <v>4– Usable, minor flaws Minor background noise.</v>
      </c>
      <c r="L21" s="2" t="str">
        <f>IFERROR(__xludf.DUMMYFUNCTION("""COMPUTED_VALUE"""),"No")</f>
        <v>No</v>
      </c>
    </row>
    <row r="22">
      <c r="A22" s="2" t="str">
        <f>IFERROR(__xludf.DUMMYFUNCTION("""COMPUTED_VALUE"""),"collect/miscellaneous/Dhaka FM\DFM - AUDIO CLIP (03-01-2023)/030fa84d-2507-4d9e-846f-d20a638aee56.flac")</f>
        <v>collect/miscellaneous/Dhaka FM\DFM - AUDIO CLIP (03-01-2023)/030fa84d-2507-4d9e-846f-d20a638aee56.flac</v>
      </c>
      <c r="B22" s="2">
        <f>IFERROR(__xludf.DUMMYFUNCTION("""COMPUTED_VALUE"""),30.0)</f>
        <v>30</v>
      </c>
      <c r="C22" s="2" t="str">
        <f>IFERROR(__xludf.DUMMYFUNCTION("""COMPUTED_VALUE"""),"নখের নিচে একটা দাগ পড়ে যায় আলু কাটার জন্য এবং কাটার জনয একটা গন্ধ চলে আছে ওয়াট ইউকেন ডিউ আয়দার ইউকেন ইউজলেমন লেবুদি এ আপনারা ঘোষে নিতে পারেন নখ এবং হাতের পুরো হাতটায় লেবুর রস দিয়ে ঘোষ নিতে পারেন এবং কিছুক্ষণ আপনি ঘষে নিয়ে তারপরে কিছুক্ষণ রেখে হাতটা ধুয়ে দ"&amp;"িন দেখবেন একটা ফ্রেশনেস চলে আসছে হাতা গন্ধ নেয়ে কালচেটা দাগও নেই এবং মিউল ফেল দ্য ফ্রেশনেস")</f>
        <v>নখের নিচে একটা দাগ পড়ে যায় আলু কাটার জন্য এবং কাটার জনয একটা গন্ধ চলে আছে ওয়াট ইউকেন ডিউ আয়দার ইউকেন ইউজলেমন লেবুদি এ আপনারা ঘোষে নিতে পারেন নখ এবং হাতের পুরো হাতটায় লেবুর রস দিয়ে ঘোষ নিতে পারেন এবং কিছুক্ষণ আপনি ঘষে নিয়ে তারপরে কিছুক্ষণ রেখে হাতটা ধুয়ে দিন দেখবেন একটা ফ্রেশনেস চলে আসছে হাতা গন্ধ নেয়ে কালচেটা দাগও নেই এবং মিউল ফেল দ্য ফ্রেশনেস</v>
      </c>
      <c r="D22" s="2" t="str">
        <f>IFERROR(__xludf.DUMMYFUNCTION("""COMPUTED_VALUE"""),"No")</f>
        <v>No</v>
      </c>
      <c r="E22" s="2" t="str">
        <f>IFERROR(__xludf.DUMMYFUNCTION("""COMPUTED_VALUE"""),"Yes")</f>
        <v>Yes</v>
      </c>
      <c r="F22" s="2" t="str">
        <f>IFERROR(__xludf.DUMMYFUNCTION("""COMPUTED_VALUE"""),"Yes")</f>
        <v>Yes</v>
      </c>
      <c r="G22" s="2">
        <f>IFERROR(__xludf.DUMMYFUNCTION("""COMPUTED_VALUE"""),1.0)</f>
        <v>1</v>
      </c>
      <c r="H22" s="2">
        <f>IFERROR(__xludf.DUMMYFUNCTION("""COMPUTED_VALUE"""),1.0)</f>
        <v>1</v>
      </c>
      <c r="I22" s="2">
        <f>IFERROR(__xludf.DUMMYFUNCTION("""COMPUTED_VALUE"""),1.0)</f>
        <v>1</v>
      </c>
      <c r="J22" s="2">
        <f>IFERROR(__xludf.DUMMYFUNCTION("""COMPUTED_VALUE"""),0.0)</f>
        <v>0</v>
      </c>
      <c r="K22" s="2" t="str">
        <f>IFERROR(__xludf.DUMMYFUNCTION("""COMPUTED_VALUE"""),"4– Usable, minor flaws Minor background noise.")</f>
        <v>4– Usable, minor flaws Minor background noise.</v>
      </c>
      <c r="L22" s="2" t="str">
        <f>IFERROR(__xludf.DUMMYFUNCTION("""COMPUTED_VALUE"""),"Yes")</f>
        <v>Yes</v>
      </c>
    </row>
    <row r="23">
      <c r="A23" s="2" t="str">
        <f>IFERROR(__xludf.DUMMYFUNCTION("""COMPUTED_VALUE"""),"collect/miscellaneous/Dhaka FM\DFM - AUDIO CLIP (03-01-2023)/03542fbe-ed8c-4c57-87d4-049a77a1372d.flac")</f>
        <v>collect/miscellaneous/Dhaka FM\DFM - AUDIO CLIP (03-01-2023)/03542fbe-ed8c-4c57-87d4-049a77a1372d.flac</v>
      </c>
      <c r="B23" s="2">
        <f>IFERROR(__xludf.DUMMYFUNCTION("""COMPUTED_VALUE"""),30.0)</f>
        <v>30</v>
      </c>
      <c r="C23" s="2" t="str">
        <f>IFERROR(__xludf.DUMMYFUNCTION("""COMPUTED_VALUE"""),"নগুত ঈদ শোপিং অপটিড হভারেন্স ওয়াল কামটোড ঢাকা ফেম নায়নিফ হন ফোর এ্যাকনেশন এ্ক্স্টেশনে চলছে ঈদ শপিং আপডেট নগদেশ ওজন্যে তো নগদীট ঈদ শপিং আপডেট আমরা এখন জানব জুয়েলার কাছ থেকে চলে যাব জুয়েলার কাছে হ্যালো জুয়েল হয়লো লিসনার্স ট্র্াংকিউ সোম হছে আমাকে কানেট করবার"&amp;" জন্য নবদেশ সওজন্যে ঈটশপিং আপডেট নিয়েই মুহূর্তে আমি আছি আপনাদের সঙ্গে এই মুহূর্তে আমি রয়েছে এ যে পুননফিচার পার্কে আমরা দেখতে পাচ্ছে একজন ক্রেতা বন্ধু আমাদের সামনে হ্যালো কেমন আছেন আলামনিা")</f>
        <v>নগুত ঈদ শোপিং অপটিড হভারেন্স ওয়াল কামটোড ঢাকা ফেম নায়নিফ হন ফোর এ্যাকনেশন এ্ক্স্টেশনে চলছে ঈদ শপিং আপডেট নগদেশ ওজন্যে তো নগদীট ঈদ শপিং আপডেট আমরা এখন জানব জুয়েলার কাছ থেকে চলে যাব জুয়েলার কাছে হ্যালো জুয়েল হয়লো লিসনার্স ট্র্াংকিউ সোম হছে আমাকে কানেট করবার জন্য নবদেশ সওজন্যে ঈটশপিং আপডেট নিয়েই মুহূর্তে আমি আছি আপনাদের সঙ্গে এই মুহূর্তে আমি রয়েছে এ যে পুননফিচার পার্কে আমরা দেখতে পাচ্ছে একজন ক্রেতা বন্ধু আমাদের সামনে হ্যালো কেমন আছেন আলামনিা</v>
      </c>
      <c r="D23" s="2" t="str">
        <f>IFERROR(__xludf.DUMMYFUNCTION("""COMPUTED_VALUE"""),"No")</f>
        <v>No</v>
      </c>
      <c r="E23" s="2" t="str">
        <f>IFERROR(__xludf.DUMMYFUNCTION("""COMPUTED_VALUE"""),"No")</f>
        <v>No</v>
      </c>
      <c r="F23" s="2" t="str">
        <f>IFERROR(__xludf.DUMMYFUNCTION("""COMPUTED_VALUE"""),"Yes")</f>
        <v>Yes</v>
      </c>
      <c r="G23" s="2">
        <f>IFERROR(__xludf.DUMMYFUNCTION("""COMPUTED_VALUE"""),0.0)</f>
        <v>0</v>
      </c>
      <c r="H23" s="2">
        <f>IFERROR(__xludf.DUMMYFUNCTION("""COMPUTED_VALUE"""),0.5)</f>
        <v>0.5</v>
      </c>
      <c r="I23" s="2">
        <f>IFERROR(__xludf.DUMMYFUNCTION("""COMPUTED_VALUE"""),0.5)</f>
        <v>0.5</v>
      </c>
      <c r="J23" s="2">
        <f>IFERROR(__xludf.DUMMYFUNCTION("""COMPUTED_VALUE"""),0.0)</f>
        <v>0</v>
      </c>
      <c r="K23" s="2" t="str">
        <f>IFERROR(__xludf.DUMMYFUNCTION("""COMPUTED_VALUE"""),"4– Usable, minor flaws Minor background noise.")</f>
        <v>4– Usable, minor flaws Minor background noise.</v>
      </c>
      <c r="L23" s="2"/>
    </row>
    <row r="24">
      <c r="A24" s="2" t="str">
        <f>IFERROR(__xludf.DUMMYFUNCTION("""COMPUTED_VALUE"""),"collect/miscellaneous/Dhaka FM\DFM - AUDIO CLIP (03-01-2023)/0371c570-9f60-4644-9662-0f7d49a39a63.flac")</f>
        <v>collect/miscellaneous/Dhaka FM\DFM - AUDIO CLIP (03-01-2023)/0371c570-9f60-4644-9662-0f7d49a39a63.flac</v>
      </c>
      <c r="B24" s="2">
        <f>IFERROR(__xludf.DUMMYFUNCTION("""COMPUTED_VALUE"""),30.0)</f>
        <v>30</v>
      </c>
      <c r="C24" s="2" t="str">
        <f>IFERROR(__xludf.DUMMYFUNCTION("""COMPUTED_VALUE"""),"লাইফ হাকস াক েন্স ওয়ালকাম ব্যাকটু ঢাকা ফাম নইনি হন্ ফর এ্যাকনেশন এক স্টেশনে চলছে লাইফ অ্াক্স উইচরিতা সামটাইমস কি হয় যে আমাদের পছন্দের সবজিটা কিংবা পছন্দের ফুল গাছে যখন পোকা ধরে না তখন দেখবেন ফুলটা খেয়ে নিচ্ছে সবজিটা খেয়ে নিচ্ছে কিংবা পাতাতেও অপোকা ধরে যায়"&amp;" এই সমস্ত সিচুয়েশনটা ট্যাকেল দেওয়ার জন্য যে ব্যাপারটা আপনার দরকার সেটা হচ্ছে যে ভিনেগার আছেনা অ্যাপ্টল সিডার ভিনেগার অ্যাপটাল সিডার বিনেগার একটা বোতলের মধ্যে")</f>
        <v>লাইফ হাকস াক েন্স ওয়ালকাম ব্যাকটু ঢাকা ফাম নইনি হন্ ফর এ্যাকনেশন এক স্টেশনে চলছে লাইফ অ্াক্স উইচরিতা সামটাইমস কি হয় যে আমাদের পছন্দের সবজিটা কিংবা পছন্দের ফুল গাছে যখন পোকা ধরে না তখন দেখবেন ফুলটা খেয়ে নিচ্ছে সবজিটা খেয়ে নিচ্ছে কিংবা পাতাতেও অপোকা ধরে যায় এই সমস্ত সিচুয়েশনটা ট্যাকেল দেওয়ার জন্য যে ব্যাপারটা আপনার দরকার সেটা হচ্ছে যে ভিনেগার আছেনা অ্যাপ্টল সিডার ভিনেগার অ্যাপটাল সিডার বিনেগার একটা বোতলের মধ্যে</v>
      </c>
      <c r="D24" s="2" t="str">
        <f>IFERROR(__xludf.DUMMYFUNCTION("""COMPUTED_VALUE"""),"No")</f>
        <v>No</v>
      </c>
      <c r="E24" s="2" t="str">
        <f>IFERROR(__xludf.DUMMYFUNCTION("""COMPUTED_VALUE"""),"No")</f>
        <v>No</v>
      </c>
      <c r="F24" s="2" t="str">
        <f>IFERROR(__xludf.DUMMYFUNCTION("""COMPUTED_VALUE"""),"Yes")</f>
        <v>Yes</v>
      </c>
      <c r="G24" s="2">
        <f>IFERROR(__xludf.DUMMYFUNCTION("""COMPUTED_VALUE"""),0.5)</f>
        <v>0.5</v>
      </c>
      <c r="H24" s="2">
        <f>IFERROR(__xludf.DUMMYFUNCTION("""COMPUTED_VALUE"""),0.5)</f>
        <v>0.5</v>
      </c>
      <c r="I24" s="2">
        <f>IFERROR(__xludf.DUMMYFUNCTION("""COMPUTED_VALUE"""),0.5)</f>
        <v>0.5</v>
      </c>
      <c r="J24" s="2">
        <f>IFERROR(__xludf.DUMMYFUNCTION("""COMPUTED_VALUE"""),0.0)</f>
        <v>0</v>
      </c>
      <c r="K24" s="2" t="str">
        <f>IFERROR(__xludf.DUMMYFUNCTION("""COMPUTED_VALUE"""),"3 – Mixed language or inconsistent quality")</f>
        <v>3 – Mixed language or inconsistent quality</v>
      </c>
      <c r="L24" s="2" t="str">
        <f>IFERROR(__xludf.DUMMYFUNCTION("""COMPUTED_VALUE"""),"No")</f>
        <v>No</v>
      </c>
    </row>
    <row r="25">
      <c r="A25" s="2" t="str">
        <f>IFERROR(__xludf.DUMMYFUNCTION("""COMPUTED_VALUE"""),"collect/miscellaneous/Dhaka FM\DFM - AUDIO CLIP (03-01-2023)/038801b9-a4ce-4423-8869-8c68e8f50641.flac")</f>
        <v>collect/miscellaneous/Dhaka FM\DFM - AUDIO CLIP (03-01-2023)/038801b9-a4ce-4423-8869-8c68e8f50641.flac</v>
      </c>
      <c r="B25" s="2">
        <f>IFERROR(__xludf.DUMMYFUNCTION("""COMPUTED_VALUE"""),30.0)</f>
        <v>30</v>
      </c>
      <c r="C25" s="2" t="str">
        <f>IFERROR(__xludf.DUMMYFUNCTION("""COMPUTED_VALUE"""),"এটা যে ব্যাপারটা হয়েছে এটাকে ফেলে দিতে হবে অনইয়র ডাস্ট বি নরওয়েস্টেস বক্সকে বা ডোন বিফোর ডিউদেট জেস্ট্রায়ট কারণ আপনি যদে ট্রাই করেন দেখবেন যেটা আবার খাওয়ার যোগ্য হয়েছে এবং খাদ্যা খাদ্য মান এবং খাদ্যোপাদন অটউট রয়েছে প্লেটশ পাতার মধ্যে লেমিটেলিও প্রথমে যেটা"&amp;" করবেন একটা বাটিতে গরম পানি নেবেন গরম পানি তেটা কিছুক্ষণ ডিপ করবেন মানে চুপানো যাকে ভালো হকে ছেবাবেন কানে ধরে চুবিয়ে উঠিয়ে তার প্র একদম কোর্ট পানি একদম ঠান্ডা বরফ টান্ডা পানিতে")</f>
        <v>এটা যে ব্যাপারটা হয়েছে এটাকে ফেলে দিতে হবে অনইয়র ডাস্ট বি নরওয়েস্টেস বক্সকে বা ডোন বিফোর ডিউদেট জেস্ট্রায়ট কারণ আপনি যদে ট্রাই করেন দেখবেন যেটা আবার খাওয়ার যোগ্য হয়েছে এবং খাদ্যা খাদ্য মান এবং খাদ্যোপাদন অটউট রয়েছে প্লেটশ পাতার মধ্যে লেমিটেলিও প্রথমে যেটা করবেন একটা বাটিতে গরম পানি নেবেন গরম পানি তেটা কিছুক্ষণ ডিপ করবেন মানে চুপানো যাকে ভালো হকে ছেবাবেন কানে ধরে চুবিয়ে উঠিয়ে তার প্র একদম কোর্ট পানি একদম ঠান্ডা বরফ টান্ডা পানিতে</v>
      </c>
      <c r="D25" s="2" t="str">
        <f>IFERROR(__xludf.DUMMYFUNCTION("""COMPUTED_VALUE"""),"No")</f>
        <v>No</v>
      </c>
      <c r="E25" s="2" t="str">
        <f>IFERROR(__xludf.DUMMYFUNCTION("""COMPUTED_VALUE"""),"No")</f>
        <v>No</v>
      </c>
      <c r="F25" s="2" t="str">
        <f>IFERROR(__xludf.DUMMYFUNCTION("""COMPUTED_VALUE"""),"Yes")</f>
        <v>Yes</v>
      </c>
      <c r="G25" s="2">
        <f>IFERROR(__xludf.DUMMYFUNCTION("""COMPUTED_VALUE"""),0.5)</f>
        <v>0.5</v>
      </c>
      <c r="H25" s="2">
        <f>IFERROR(__xludf.DUMMYFUNCTION("""COMPUTED_VALUE"""),0.5)</f>
        <v>0.5</v>
      </c>
      <c r="I25" s="2">
        <f>IFERROR(__xludf.DUMMYFUNCTION("""COMPUTED_VALUE"""),0.5)</f>
        <v>0.5</v>
      </c>
      <c r="J25" s="2">
        <f>IFERROR(__xludf.DUMMYFUNCTION("""COMPUTED_VALUE"""),0.0)</f>
        <v>0</v>
      </c>
      <c r="K25" s="2" t="str">
        <f>IFERROR(__xludf.DUMMYFUNCTION("""COMPUTED_VALUE"""),"4– Usable, minor flaws Minor background noise.")</f>
        <v>4– Usable, minor flaws Minor background noise.</v>
      </c>
      <c r="L25" s="2" t="str">
        <f>IFERROR(__xludf.DUMMYFUNCTION("""COMPUTED_VALUE"""),"Yes")</f>
        <v>Yes</v>
      </c>
    </row>
    <row r="26">
      <c r="A26" s="2" t="str">
        <f>IFERROR(__xludf.DUMMYFUNCTION("""COMPUTED_VALUE"""),"collect/miscellaneous/Dhaka FM\DFM - AUDIO CLIP (03-01-2023)/03c509ce-7223-4762-a67e-cdb51f0be353.flac")</f>
        <v>collect/miscellaneous/Dhaka FM\DFM - AUDIO CLIP (03-01-2023)/03c509ce-7223-4762-a67e-cdb51f0be353.flac</v>
      </c>
      <c r="B26" s="2">
        <f>IFERROR(__xludf.DUMMYFUNCTION("""COMPUTED_VALUE"""),30.0)</f>
        <v>30</v>
      </c>
      <c r="C26" s="2" t="str">
        <f>IFERROR(__xludf.DUMMYFUNCTION("""COMPUTED_VALUE"""),"ধা কপির ছাপ দিয়ে কিন্তু ইউকেন মেইকা থ্রি নতুলির আচল দি আঁচড় দিয়ে গাছের মতো একটা সেপ দিয়ে দেবেন নিচে দেখবেন এটা ট্রি হয়ে গেছে অন্ডওলসো দারিজ ওয়ান থিং যদি আপনি ব্রকলি অর ফুল কপি দিয়ে ইফিউ ট্রায় ইউক্রেন মেঘ ফ্লাওয়ার ট্রিওলসো ইভইউ ট্রায়ন াড়োস দিয়েও করা যায় ঢ্"&amp;"যাঁড়স দিয়েও কিন্তু আপনি ফুল এবং গাছ দুটি করে ফেলতে পারেন ওয়ায়নেট ট্রাইওয়ে সাম ব্রকুলি ফ্লাওয়ারর উইথঢ্যাঁরশ কারণ")</f>
        <v>ধা কপির ছাপ দিয়ে কিন্তু ইউকেন মেইকা থ্রি নতুলির আচল দি আঁচড় দিয়ে গাছের মতো একটা সেপ দিয়ে দেবেন নিচে দেখবেন এটা ট্রি হয়ে গেছে অন্ডওলসো দারিজ ওয়ান থিং যদি আপনি ব্রকলি অর ফুল কপি দিয়ে ইফিউ ট্রায় ইউক্রেন মেঘ ফ্লাওয়ার ট্রিওলসো ইভইউ ট্রায়ন াড়োস দিয়েও করা যায় ঢ্যাঁড়স দিয়েও কিন্তু আপনি ফুল এবং গাছ দুটি করে ফেলতে পারেন ওয়ায়নেট ট্রাইওয়ে সাম ব্রকুলি ফ্লাওয়ারর উইথঢ্যাঁরশ কারণ</v>
      </c>
      <c r="D26" s="2" t="str">
        <f>IFERROR(__xludf.DUMMYFUNCTION("""COMPUTED_VALUE"""),"No")</f>
        <v>No</v>
      </c>
      <c r="E26" s="2" t="str">
        <f>IFERROR(__xludf.DUMMYFUNCTION("""COMPUTED_VALUE"""),"Yes")</f>
        <v>Yes</v>
      </c>
      <c r="F26" s="2" t="str">
        <f>IFERROR(__xludf.DUMMYFUNCTION("""COMPUTED_VALUE"""),"Yes")</f>
        <v>Yes</v>
      </c>
      <c r="G26" s="2">
        <f>IFERROR(__xludf.DUMMYFUNCTION("""COMPUTED_VALUE"""),0.5)</f>
        <v>0.5</v>
      </c>
      <c r="H26" s="2">
        <f>IFERROR(__xludf.DUMMYFUNCTION("""COMPUTED_VALUE"""),0.5)</f>
        <v>0.5</v>
      </c>
      <c r="I26" s="2">
        <f>IFERROR(__xludf.DUMMYFUNCTION("""COMPUTED_VALUE"""),0.5)</f>
        <v>0.5</v>
      </c>
      <c r="J26" s="2">
        <f>IFERROR(__xludf.DUMMYFUNCTION("""COMPUTED_VALUE"""),0.0)</f>
        <v>0</v>
      </c>
      <c r="K26" s="2" t="str">
        <f>IFERROR(__xludf.DUMMYFUNCTION("""COMPUTED_VALUE"""),"3 – Mixed language or inconsistent quality")</f>
        <v>3 – Mixed language or inconsistent quality</v>
      </c>
      <c r="L26" s="2" t="str">
        <f>IFERROR(__xludf.DUMMYFUNCTION("""COMPUTED_VALUE"""),"Yes")</f>
        <v>Yes</v>
      </c>
    </row>
    <row r="27">
      <c r="A27" s="2" t="str">
        <f>IFERROR(__xludf.DUMMYFUNCTION("""COMPUTED_VALUE"""),"collect/miscellaneous/Dhaka FM\DFM - AUDIO CLIP (03-01-2023)/03dbf1e8-68e6-4630-9997-c95d8b24b46a.flac")</f>
        <v>collect/miscellaneous/Dhaka FM\DFM - AUDIO CLIP (03-01-2023)/03dbf1e8-68e6-4630-9997-c95d8b24b46a.flac</v>
      </c>
      <c r="B27" s="2">
        <f>IFERROR(__xludf.DUMMYFUNCTION("""COMPUTED_VALUE"""),14.99)</f>
        <v>14.99</v>
      </c>
      <c r="C27" s="2" t="str">
        <f>IFERROR(__xludf.DUMMYFUNCTION("""COMPUTED_VALUE"""),"কাউন্ট আছে আপনাদেরই সাথে আপনারা চাইলেই মোবাইলে লেনদেন করতে পারেন এবং লেনদেনের নানান রকম সুবিধা প খুপ করতে পারবেন এখন সুদবিহীন এই নগদ ইসলামীকে ভাফে সাকাউন্ট থেকে শুনছেন ঢাকা এফ ামদানি পয়েন্ট ফর অযাকমিনেশন এক্স্টেশন")</f>
        <v>কাউন্ট আছে আপনাদেরই সাথে আপনারা চাইলেই মোবাইলে লেনদেন করতে পারেন এবং লেনদেনের নানান রকম সুবিধা প খুপ করতে পারবেন এখন সুদবিহীন এই নগদ ইসলামীকে ভাফে সাকাউন্ট থেকে শুনছেন ঢাকা এফ ামদানি পয়েন্ট ফর অযাকমিনেশন এক্স্টেশন</v>
      </c>
      <c r="D27" s="2" t="str">
        <f>IFERROR(__xludf.DUMMYFUNCTION("""COMPUTED_VALUE"""),"No")</f>
        <v>No</v>
      </c>
      <c r="E27" s="2" t="str">
        <f>IFERROR(__xludf.DUMMYFUNCTION("""COMPUTED_VALUE"""),"No")</f>
        <v>No</v>
      </c>
      <c r="F27" s="2" t="str">
        <f>IFERROR(__xludf.DUMMYFUNCTION("""COMPUTED_VALUE"""),"Yes")</f>
        <v>Yes</v>
      </c>
      <c r="G27" s="2">
        <f>IFERROR(__xludf.DUMMYFUNCTION("""COMPUTED_VALUE"""),0.5)</f>
        <v>0.5</v>
      </c>
      <c r="H27" s="2">
        <f>IFERROR(__xludf.DUMMYFUNCTION("""COMPUTED_VALUE"""),0.5)</f>
        <v>0.5</v>
      </c>
      <c r="I27" s="2">
        <f>IFERROR(__xludf.DUMMYFUNCTION("""COMPUTED_VALUE"""),0.5)</f>
        <v>0.5</v>
      </c>
      <c r="J27" s="2">
        <f>IFERROR(__xludf.DUMMYFUNCTION("""COMPUTED_VALUE"""),0.5)</f>
        <v>0.5</v>
      </c>
      <c r="K27" s="2" t="str">
        <f>IFERROR(__xludf.DUMMYFUNCTION("""COMPUTED_VALUE"""),"4– Usable, minor flaws Minor background noise.")</f>
        <v>4– Usable, minor flaws Minor background noise.</v>
      </c>
      <c r="L27" s="2" t="str">
        <f>IFERROR(__xludf.DUMMYFUNCTION("""COMPUTED_VALUE"""),"Yes")</f>
        <v>Yes</v>
      </c>
    </row>
    <row r="28">
      <c r="A28" s="2" t="str">
        <f>IFERROR(__xludf.DUMMYFUNCTION("""COMPUTED_VALUE"""),"collect/miscellaneous/Dhaka FM\DFM - AUDIO CLIP (03-01-2023)/03e72307-a3cc-4103-9def-46f8d01e09bf.flac")</f>
        <v>collect/miscellaneous/Dhaka FM\DFM - AUDIO CLIP (03-01-2023)/03e72307-a3cc-4103-9def-46f8d01e09bf.flac</v>
      </c>
      <c r="B28" s="2">
        <f>IFERROR(__xludf.DUMMYFUNCTION("""COMPUTED_VALUE"""),19.673)</f>
        <v>19.673</v>
      </c>
      <c r="C28" s="2" t="str">
        <f>IFERROR(__xludf.DUMMYFUNCTION("""COMPUTED_VALUE"""),"ফ্রেশ রাখার চেষ্টা করেন আদার স ফ্রুটও কিন্তু এভাবেই ফ্রেশ রাখার চেষ্টা করবার দে দেহ্যাব দেয়ার সিস্টেম দেহযাবদের মেথ দ আউইলদে অ্যাকচুয়েলি খি ফ্রেশ দোস ফুররৎসকে ওকে নাওয়াহীন জয়দে ট্রাকার নিঃসুপ্তর থ্যাংটি ওয়ানস এক্সচোসিক জেরা এই জাওয়ার নাম্বার ওয়ের ইউক্রেন "&amp;"ট্যাক্স মিয়ে ফিরে এসে বাকি কথা বলে দেব নওবাইন জয়দা ট্রাক")</f>
        <v>ফ্রেশ রাখার চেষ্টা করেন আদার স ফ্রুটও কিন্তু এভাবেই ফ্রেশ রাখার চেষ্টা করবার দে দেহ্যাব দেয়ার সিস্টেম দেহযাবদের মেথ দ আউইলদে অ্যাকচুয়েলি খি ফ্রেশ দোস ফুররৎসকে ওকে নাওয়াহীন জয়দে ট্রাকার নিঃসুপ্তর থ্যাংটি ওয়ানস এক্সচোসিক জেরা এই জাওয়ার নাম্বার ওয়ের ইউক্রেন ট্যাক্স মিয়ে ফিরে এসে বাকি কথা বলে দেব নওবাইন জয়দা ট্রাক</v>
      </c>
      <c r="D28" s="2" t="str">
        <f>IFERROR(__xludf.DUMMYFUNCTION("""COMPUTED_VALUE"""),"No")</f>
        <v>No</v>
      </c>
      <c r="E28" s="2" t="str">
        <f>IFERROR(__xludf.DUMMYFUNCTION("""COMPUTED_VALUE"""),"No")</f>
        <v>No</v>
      </c>
      <c r="F28" s="2" t="str">
        <f>IFERROR(__xludf.DUMMYFUNCTION("""COMPUTED_VALUE"""),"Yes")</f>
        <v>Yes</v>
      </c>
      <c r="G28" s="2">
        <f>IFERROR(__xludf.DUMMYFUNCTION("""COMPUTED_VALUE"""),0.5)</f>
        <v>0.5</v>
      </c>
      <c r="H28" s="2">
        <f>IFERROR(__xludf.DUMMYFUNCTION("""COMPUTED_VALUE"""),0.5)</f>
        <v>0.5</v>
      </c>
      <c r="I28" s="2">
        <f>IFERROR(__xludf.DUMMYFUNCTION("""COMPUTED_VALUE"""),0.5)</f>
        <v>0.5</v>
      </c>
      <c r="J28" s="2">
        <f>IFERROR(__xludf.DUMMYFUNCTION("""COMPUTED_VALUE"""),0.0)</f>
        <v>0</v>
      </c>
      <c r="K28" s="2" t="str">
        <f>IFERROR(__xludf.DUMMYFUNCTION("""COMPUTED_VALUE"""),"4– Usable, minor flaws Minor background noise.")</f>
        <v>4– Usable, minor flaws Minor background noise.</v>
      </c>
      <c r="L28" s="2" t="str">
        <f>IFERROR(__xludf.DUMMYFUNCTION("""COMPUTED_VALUE"""),"Yes")</f>
        <v>Yes</v>
      </c>
    </row>
    <row r="29">
      <c r="A29" s="2" t="str">
        <f>IFERROR(__xludf.DUMMYFUNCTION("""COMPUTED_VALUE"""),"collect/miscellaneous/Dhaka FM\DFM - AUDIO CLIP (03-01-2023)/0400aa47-9f17-4a87-9b68-bc5da0c4061e.flac")</f>
        <v>collect/miscellaneous/Dhaka FM\DFM - AUDIO CLIP (03-01-2023)/0400aa47-9f17-4a87-9b68-bc5da0c4061e.flac</v>
      </c>
      <c r="B29" s="2">
        <f>IFERROR(__xludf.DUMMYFUNCTION("""COMPUTED_VALUE"""),30.0)</f>
        <v>30</v>
      </c>
      <c r="C29" s="2" t="str">
        <f>IFERROR(__xludf.DUMMYFUNCTION("""COMPUTED_VALUE"""),"কো কোকটাও এর মধ্যে ঢেলে তে পারেন যে কোকের কোক্টার মধ্যে আপনি আপনার মুর্গিটা মেরিনেট করছিলেন ইউক্েন জাল্স্ট ইউজ জিনজিয়ারগালিক সামশিলিজ হাওমাস অ্যাকচুয়েল স্ফাইসিউ স্ফাইসিউ লাইক দযাট মাচ অ্যান্ডেন সাম গারাম সালাজ উইথকোক মেরিনেট ফর ফিউমেনেসে খানবি ানাউয়ার কাপ"&amp;"ল অ ফাওয়ারস দেন কোকেট ওকে তারপরে দেখেন")</f>
        <v>কো কোকটাও এর মধ্যে ঢেলে তে পারেন যে কোকের কোক্টার মধ্যে আপনি আপনার মুর্গিটা মেরিনেট করছিলেন ইউক্েন জাল্স্ট ইউজ জিনজিয়ারগালিক সামশিলিজ হাওমাস অ্যাকচুয়েল স্ফাইসিউ স্ফাইসিউ লাইক দযাট মাচ অ্যান্ডেন সাম গারাম সালাজ উইথকোক মেরিনেট ফর ফিউমেনেসে খানবি ানাউয়ার কাপল অ ফাওয়ারস দেন কোকেট ওকে তারপরে দেখেন</v>
      </c>
      <c r="D29" s="2" t="str">
        <f>IFERROR(__xludf.DUMMYFUNCTION("""COMPUTED_VALUE"""),"No")</f>
        <v>No</v>
      </c>
      <c r="E29" s="2" t="str">
        <f>IFERROR(__xludf.DUMMYFUNCTION("""COMPUTED_VALUE"""),"No")</f>
        <v>No</v>
      </c>
      <c r="F29" s="2" t="str">
        <f>IFERROR(__xludf.DUMMYFUNCTION("""COMPUTED_VALUE"""),"Yes")</f>
        <v>Yes</v>
      </c>
      <c r="G29" s="2">
        <f>IFERROR(__xludf.DUMMYFUNCTION("""COMPUTED_VALUE"""),0.5)</f>
        <v>0.5</v>
      </c>
      <c r="H29" s="2">
        <f>IFERROR(__xludf.DUMMYFUNCTION("""COMPUTED_VALUE"""),0.5)</f>
        <v>0.5</v>
      </c>
      <c r="I29" s="2">
        <f>IFERROR(__xludf.DUMMYFUNCTION("""COMPUTED_VALUE"""),0.5)</f>
        <v>0.5</v>
      </c>
      <c r="J29" s="2">
        <f>IFERROR(__xludf.DUMMYFUNCTION("""COMPUTED_VALUE"""),0.0)</f>
        <v>0</v>
      </c>
      <c r="K29" s="2" t="str">
        <f>IFERROR(__xludf.DUMMYFUNCTION("""COMPUTED_VALUE"""),"1 - Unusable Severely degraded, or non-Bangla")</f>
        <v>1 - Unusable Severely degraded, or non-Bangla</v>
      </c>
      <c r="L29" s="2" t="str">
        <f>IFERROR(__xludf.DUMMYFUNCTION("""COMPUTED_VALUE"""),"Yes")</f>
        <v>Yes</v>
      </c>
    </row>
    <row r="30">
      <c r="A30" s="2" t="str">
        <f>IFERROR(__xludf.DUMMYFUNCTION("""COMPUTED_VALUE"""),"collect/miscellaneous/Dhaka FM\DFM - AUDIO CLIP (03-01-2023)/041a844b-90b2-4ee8-819d-b5e69857f39e.flac")</f>
        <v>collect/miscellaneous/Dhaka FM\DFM - AUDIO CLIP (03-01-2023)/041a844b-90b2-4ee8-819d-b5e69857f39e.flac</v>
      </c>
      <c r="B30" s="2">
        <f>IFERROR(__xludf.DUMMYFUNCTION("""COMPUTED_VALUE"""),11.176)</f>
        <v>11.176</v>
      </c>
      <c r="C30" s="2" t="str">
        <f>IFERROR(__xludf.DUMMYFUNCTION("""COMPUTED_VALUE"""),"স্টোসিক্সের ওই নম্বরে আর রয়েছে ওয়ার্ডসঅ্যাপ ডানা আডডা যদি দিতে চান হোয়াটস স্াপে ওয়েন করুন আমাদের ওর সেপনম্বারটি হচ্ছে জিরো ওয়ান এইটফোর ওয়ান নাইন জিরোফোর আইনসিরোপোর")</f>
        <v>স্টোসিক্সের ওই নম্বরে আর রয়েছে ওয়ার্ডসঅ্যাপ ডানা আডডা যদি দিতে চান হোয়াটস স্াপে ওয়েন করুন আমাদের ওর সেপনম্বারটি হচ্ছে জিরো ওয়ান এইটফোর ওয়ান নাইন জিরোফোর আইনসিরোপোর</v>
      </c>
      <c r="D30" s="2" t="str">
        <f>IFERROR(__xludf.DUMMYFUNCTION("""COMPUTED_VALUE"""),"No")</f>
        <v>No</v>
      </c>
      <c r="E30" s="2" t="str">
        <f>IFERROR(__xludf.DUMMYFUNCTION("""COMPUTED_VALUE"""),"No")</f>
        <v>No</v>
      </c>
      <c r="F30" s="2" t="str">
        <f>IFERROR(__xludf.DUMMYFUNCTION("""COMPUTED_VALUE"""),"Yes")</f>
        <v>Yes</v>
      </c>
      <c r="G30" s="2">
        <f>IFERROR(__xludf.DUMMYFUNCTION("""COMPUTED_VALUE"""),0.5)</f>
        <v>0.5</v>
      </c>
      <c r="H30" s="2">
        <f>IFERROR(__xludf.DUMMYFUNCTION("""COMPUTED_VALUE"""),0.5)</f>
        <v>0.5</v>
      </c>
      <c r="I30" s="2">
        <f>IFERROR(__xludf.DUMMYFUNCTION("""COMPUTED_VALUE"""),0.5)</f>
        <v>0.5</v>
      </c>
      <c r="J30" s="2">
        <f>IFERROR(__xludf.DUMMYFUNCTION("""COMPUTED_VALUE"""),0.5)</f>
        <v>0.5</v>
      </c>
      <c r="K30" s="2" t="str">
        <f>IFERROR(__xludf.DUMMYFUNCTION("""COMPUTED_VALUE"""),"4– Usable, minor flaws Minor background noise.")</f>
        <v>4– Usable, minor flaws Minor background noise.</v>
      </c>
      <c r="L30" s="2" t="str">
        <f>IFERROR(__xludf.DUMMYFUNCTION("""COMPUTED_VALUE"""),"No")</f>
        <v>No</v>
      </c>
    </row>
    <row r="31">
      <c r="A31" s="2" t="str">
        <f>IFERROR(__xludf.DUMMYFUNCTION("""COMPUTED_VALUE"""),"collect/miscellaneous/Dhaka FM\DFM - AUDIO CLIP (03-01-2023)/0423249f-d91d-437f-ba68-c35097d2e718.flac")</f>
        <v>collect/miscellaneous/Dhaka FM\DFM - AUDIO CLIP (03-01-2023)/0423249f-d91d-437f-ba68-c35097d2e718.flac</v>
      </c>
      <c r="B31" s="2">
        <f>IFERROR(__xludf.DUMMYFUNCTION("""COMPUTED_VALUE"""),30.0)</f>
        <v>30</v>
      </c>
      <c r="C31" s="2" t="str">
        <f>IFERROR(__xludf.DUMMYFUNCTION("""COMPUTED_VALUE"""),"আসেন যাদের যেই মানে ভাগ আছে বাজাদের যেই দাওয়ার নিয়ম আছে ওইভাবে বাগবাটুয়ারা করতে করতে কিন্তু তাদের অবস্থা একদম বাজে হয়ে যায় সে ক্ষেত্রে যেটা করবেন অনেকটা লম্বা সোনো লম্বা সম্য় যদি আপনার বসে থাকতে হয় তাহলে একটা চেয়ারে খুব শটান করে সুন্দর করে লম্বা হয়ে বসবে "&amp;"নার কারণ পায়ে যদি পানিে আসার প্রবণতা থাকে তাহলে পায়ের নিচে একটা ছোট মোড়া প্লাস্টিকের মোড়া কিংবা কাঠের জলচোকি দিয়ে তারপরে বসবেন সে ক্ষেত্রে আপনার ঘাড় এবং পিঠার ব্যাথা এবং ফোমরের ব্যাথা সারাদিন ো")</f>
        <v>আসেন যাদের যেই মানে ভাগ আছে বাজাদের যেই দাওয়ার নিয়ম আছে ওইভাবে বাগবাটুয়ারা করতে করতে কিন্তু তাদের অবস্থা একদম বাজে হয়ে যায় সে ক্ষেত্রে যেটা করবেন অনেকটা লম্বা সোনো লম্বা সম্য় যদি আপনার বসে থাকতে হয় তাহলে একটা চেয়ারে খুব শটান করে সুন্দর করে লম্বা হয়ে বসবে নার কারণ পায়ে যদি পানিে আসার প্রবণতা থাকে তাহলে পায়ের নিচে একটা ছোট মোড়া প্লাস্টিকের মোড়া কিংবা কাঠের জলচোকি দিয়ে তারপরে বসবেন সে ক্ষেত্রে আপনার ঘাড় এবং পিঠার ব্যাথা এবং ফোমরের ব্যাথা সারাদিন ো</v>
      </c>
      <c r="D31" s="2" t="str">
        <f>IFERROR(__xludf.DUMMYFUNCTION("""COMPUTED_VALUE"""),"No")</f>
        <v>No</v>
      </c>
      <c r="E31" s="2" t="str">
        <f>IFERROR(__xludf.DUMMYFUNCTION("""COMPUTED_VALUE"""),"No")</f>
        <v>No</v>
      </c>
      <c r="F31" s="2" t="str">
        <f>IFERROR(__xludf.DUMMYFUNCTION("""COMPUTED_VALUE"""),"Yes")</f>
        <v>Yes</v>
      </c>
      <c r="G31" s="2">
        <f>IFERROR(__xludf.DUMMYFUNCTION("""COMPUTED_VALUE"""),0.5)</f>
        <v>0.5</v>
      </c>
      <c r="H31" s="2">
        <f>IFERROR(__xludf.DUMMYFUNCTION("""COMPUTED_VALUE"""),0.5)</f>
        <v>0.5</v>
      </c>
      <c r="I31" s="2">
        <f>IFERROR(__xludf.DUMMYFUNCTION("""COMPUTED_VALUE"""),1.0)</f>
        <v>1</v>
      </c>
      <c r="J31" s="2">
        <f>IFERROR(__xludf.DUMMYFUNCTION("""COMPUTED_VALUE"""),1.0)</f>
        <v>1</v>
      </c>
      <c r="K31" s="2" t="str">
        <f>IFERROR(__xludf.DUMMYFUNCTION("""COMPUTED_VALUE"""),"5 – High-quality, Clean Bangla speech")</f>
        <v>5 – High-quality, Clean Bangla speech</v>
      </c>
      <c r="L31" s="2" t="str">
        <f>IFERROR(__xludf.DUMMYFUNCTION("""COMPUTED_VALUE"""),"No")</f>
        <v>No</v>
      </c>
    </row>
    <row r="32">
      <c r="A32" s="2" t="str">
        <f>IFERROR(__xludf.DUMMYFUNCTION("""COMPUTED_VALUE"""),"collect/miscellaneous/Dhaka FM\DFM - AUDIO CLIP (03-01-2023)/043c094e-1e18-4ca4-b067-e4806b176a3e.flac")</f>
        <v>collect/miscellaneous/Dhaka FM\DFM - AUDIO CLIP (03-01-2023)/043c094e-1e18-4ca4-b067-e4806b176a3e.flac</v>
      </c>
      <c r="B32" s="2">
        <f>IFERROR(__xludf.DUMMYFUNCTION("""COMPUTED_VALUE"""),30.0)</f>
        <v>30</v>
      </c>
      <c r="C32" s="2" t="str">
        <f>IFERROR(__xludf.DUMMYFUNCTION("""COMPUTED_VALUE"""),"বাইকে প্যাকাপ দেয় তানে বারে উনি হচ্ছে মাস্টার মাইন তোমানে যত ধরনের বড় বড় প্ল্যানগুলো আছে কীভাবে কী করা যায় সেগুলো হচ্ছে প্রফেসর করে থাকে আমার মনে হয় আর্জেন্টিনার এই জায়গাটা দেশ মানে প্রফেসরের রোল তাপলে করেছে হচ্ছে গিয়ে লাইনাল স্ক্যালনি তো স্ক্াল নি এই কাজ"&amp;"টা খুব ভালোভাবে করেছে ন জানি সাকলে কাকে দিয়ে কোন জায়গাটাতে খেলাতে হবে এবং কার কোথায় আসলে ওই স্ট্রং ব্যাপারটা আছে উনি এক্স াকলে ওইখানেই কিন্তু দাকি টালাইজ করেছে এবং যার ফল শ্রুতিতে আমরা আর্জেন্টিনার এরকম চমৎকারে")</f>
        <v>বাইকে প্যাকাপ দেয় তানে বারে উনি হচ্ছে মাস্টার মাইন তোমানে যত ধরনের বড় বড় প্ল্যানগুলো আছে কীভাবে কী করা যায় সেগুলো হচ্ছে প্রফেসর করে থাকে আমার মনে হয় আর্জেন্টিনার এই জায়গাটা দেশ মানে প্রফেসরের রোল তাপলে করেছে হচ্ছে গিয়ে লাইনাল স্ক্যালনি তো স্ক্াল নি এই কাজটা খুব ভালোভাবে করেছে ন জানি সাকলে কাকে দিয়ে কোন জায়গাটাতে খেলাতে হবে এবং কার কোথায় আসলে ওই স্ট্রং ব্যাপারটা আছে উনি এক্স াকলে ওইখানেই কিন্তু দাকি টালাইজ করেছে এবং যার ফল শ্রুতিতে আমরা আর্জেন্টিনার এরকম চমৎকারে</v>
      </c>
      <c r="D32" s="2" t="str">
        <f>IFERROR(__xludf.DUMMYFUNCTION("""COMPUTED_VALUE"""),"No")</f>
        <v>No</v>
      </c>
      <c r="E32" s="2" t="str">
        <f>IFERROR(__xludf.DUMMYFUNCTION("""COMPUTED_VALUE"""),"Yes")</f>
        <v>Yes</v>
      </c>
      <c r="F32" s="2" t="str">
        <f>IFERROR(__xludf.DUMMYFUNCTION("""COMPUTED_VALUE"""),"Yes")</f>
        <v>Yes</v>
      </c>
      <c r="G32" s="2">
        <f>IFERROR(__xludf.DUMMYFUNCTION("""COMPUTED_VALUE"""),0.5)</f>
        <v>0.5</v>
      </c>
      <c r="H32" s="2">
        <f>IFERROR(__xludf.DUMMYFUNCTION("""COMPUTED_VALUE"""),0.5)</f>
        <v>0.5</v>
      </c>
      <c r="I32" s="2">
        <f>IFERROR(__xludf.DUMMYFUNCTION("""COMPUTED_VALUE"""),1.0)</f>
        <v>1</v>
      </c>
      <c r="J32" s="2">
        <f>IFERROR(__xludf.DUMMYFUNCTION("""COMPUTED_VALUE"""),0.0)</f>
        <v>0</v>
      </c>
      <c r="K32" s="2" t="str">
        <f>IFERROR(__xludf.DUMMYFUNCTION("""COMPUTED_VALUE"""),"4– Usable, minor flaws Minor background noise.")</f>
        <v>4– Usable, minor flaws Minor background noise.</v>
      </c>
      <c r="L32" s="2" t="str">
        <f>IFERROR(__xludf.DUMMYFUNCTION("""COMPUTED_VALUE"""),"No")</f>
        <v>No</v>
      </c>
    </row>
    <row r="33">
      <c r="A33" s="2" t="str">
        <f>IFERROR(__xludf.DUMMYFUNCTION("""COMPUTED_VALUE"""),"collect/miscellaneous/Dhaka FM\DFM - AUDIO CLIP (03-01-2023)/04632d7d-05ae-4cc7-bc7b-2189d81da730.flac")</f>
        <v>collect/miscellaneous/Dhaka FM\DFM - AUDIO CLIP (03-01-2023)/04632d7d-05ae-4cc7-bc7b-2189d81da730.flac</v>
      </c>
      <c r="B33" s="2">
        <f>IFERROR(__xludf.DUMMYFUNCTION("""COMPUTED_VALUE"""),30.0)</f>
        <v>30</v>
      </c>
      <c r="C33" s="2" t="str">
        <f>IFERROR(__xludf.DUMMYFUNCTION("""COMPUTED_VALUE"""),"লাইফ হ্যাকস হ্াক্স হেভ রয়েন্স ওয়েল কামটুড ঢাকায় ফেমনাইনি হয়ন ফোর অ্যাকনেশন এক্স্টেশনে শুরু হয়ে গেল লাইফ অ্যাক্স রিতার সাথে এবং লাইফ অ্যাক্স চলবে বিকাল পাঁচটা পর্যন্ত এই সময়ের মধ্যে আপনি কিন্তু আমার সাথে জয়েন করে নিতে পারেন এবং ইউক্েন অলসোর্সিয়ারে ওন হাডস "&amp;"উইদমি থ্রো ওএসএমএ সুকোয়াতসেফ অ্যান্ড কমেট ওয়ানসএক্সট্ুসিক জেরো হচ্ছে এসএমএসএর নাম্বার ফেইসবুক ডটকম স্লেশায় লাভ ঢাকা াপা হচ্ছে ফেইসবুকে ঠিকানায় এবং জেরোওয়ানি")</f>
        <v>লাইফ হ্যাকস হ্াক্স হেভ রয়েন্স ওয়েল কামটুড ঢাকায় ফেমনাইনি হয়ন ফোর অ্যাকনেশন এক্স্টেশনে শুরু হয়ে গেল লাইফ অ্যাক্স রিতার সাথে এবং লাইফ অ্যাক্স চলবে বিকাল পাঁচটা পর্যন্ত এই সময়ের মধ্যে আপনি কিন্তু আমার সাথে জয়েন করে নিতে পারেন এবং ইউক্েন অলসোর্সিয়ারে ওন হাডস উইদমি থ্রো ওএসএমএ সুকোয়াতসেফ অ্যান্ড কমেট ওয়ানসএক্সট্ুসিক জেরো হচ্ছে এসএমএসএর নাম্বার ফেইসবুক ডটকম স্লেশায় লাভ ঢাকা াপা হচ্ছে ফেইসবুকে ঠিকানায় এবং জেরোওয়ানি</v>
      </c>
      <c r="D33" s="2" t="str">
        <f>IFERROR(__xludf.DUMMYFUNCTION("""COMPUTED_VALUE"""),"No")</f>
        <v>No</v>
      </c>
      <c r="E33" s="2" t="str">
        <f>IFERROR(__xludf.DUMMYFUNCTION("""COMPUTED_VALUE"""),"No")</f>
        <v>No</v>
      </c>
      <c r="F33" s="2" t="str">
        <f>IFERROR(__xludf.DUMMYFUNCTION("""COMPUTED_VALUE"""),"Yes")</f>
        <v>Yes</v>
      </c>
      <c r="G33" s="2">
        <f>IFERROR(__xludf.DUMMYFUNCTION("""COMPUTED_VALUE"""),0.5)</f>
        <v>0.5</v>
      </c>
      <c r="H33" s="2">
        <f>IFERROR(__xludf.DUMMYFUNCTION("""COMPUTED_VALUE"""),0.5)</f>
        <v>0.5</v>
      </c>
      <c r="I33" s="2">
        <f>IFERROR(__xludf.DUMMYFUNCTION("""COMPUTED_VALUE"""),0.5)</f>
        <v>0.5</v>
      </c>
      <c r="J33" s="2">
        <f>IFERROR(__xludf.DUMMYFUNCTION("""COMPUTED_VALUE"""),0.0)</f>
        <v>0</v>
      </c>
      <c r="K33" s="2" t="str">
        <f>IFERROR(__xludf.DUMMYFUNCTION("""COMPUTED_VALUE"""),"3 – Mixed language or inconsistent quality")</f>
        <v>3 – Mixed language or inconsistent quality</v>
      </c>
      <c r="L33" s="2" t="str">
        <f>IFERROR(__xludf.DUMMYFUNCTION("""COMPUTED_VALUE"""),"Yes")</f>
        <v>Yes</v>
      </c>
    </row>
    <row r="34">
      <c r="A34" s="2" t="str">
        <f>IFERROR(__xludf.DUMMYFUNCTION("""COMPUTED_VALUE"""),"collect/miscellaneous/Dhaka FM\DFM - AUDIO CLIP (03-01-2023)/049cf05c-7c9e-4e0e-bc38-5e9a5a20d101.flac")</f>
        <v>collect/miscellaneous/Dhaka FM\DFM - AUDIO CLIP (03-01-2023)/049cf05c-7c9e-4e0e-bc38-5e9a5a20d101.flac</v>
      </c>
      <c r="B34" s="2">
        <f>IFERROR(__xludf.DUMMYFUNCTION("""COMPUTED_VALUE"""),30.0)</f>
        <v>30</v>
      </c>
      <c r="C34" s="2" t="str">
        <f>IFERROR(__xludf.DUMMYFUNCTION("""COMPUTED_VALUE"""),"তিশ টাকা নিয়ে যেটা করোন আর ঘরে থাকলে তো কোনো কথাই নে ওই টাকাটা খরাচ হচ্ছে না অ্যালোবেরা পাতার ভেতরের জেলটা বের করে ব্লেন্ডারে ব্লেন্ড কো বরফের যে মোল্ড আছে না ফ্রিজে থাকে বরফ বানানোর যে ট্রেটা বা মোল্টা বা বাটিটা সেটার মধ্যে ছোট ছোট কিউব আকারে কেউবগুলোর ম"&amp;"ধ্যে সেই জুস্টা ঢেলে বরফ করে রেখে দেন কেন এটার উত্তর বলছি কেন প্রচ ত থেকে যখন আপনি ঘরে ফিরছেন এবং দেখলেন যে আপনার স্ক্রিনটা বারানো হয়ে গেছে কাল চেয়ে লাল চেয়ে দো")</f>
        <v>তিশ টাকা নিয়ে যেটা করোন আর ঘরে থাকলে তো কোনো কথাই নে ওই টাকাটা খরাচ হচ্ছে না অ্যালোবেরা পাতার ভেতরের জেলটা বের করে ব্লেন্ডারে ব্লেন্ড কো বরফের যে মোল্ড আছে না ফ্রিজে থাকে বরফ বানানোর যে ট্রেটা বা মোল্টা বা বাটিটা সেটার মধ্যে ছোট ছোট কিউব আকারে কেউবগুলোর মধ্যে সেই জুস্টা ঢেলে বরফ করে রেখে দেন কেন এটার উত্তর বলছি কেন প্রচ ত থেকে যখন আপনি ঘরে ফিরছেন এবং দেখলেন যে আপনার স্ক্রিনটা বারানো হয়ে গেছে কাল চেয়ে লাল চেয়ে দো</v>
      </c>
      <c r="D34" s="2" t="str">
        <f>IFERROR(__xludf.DUMMYFUNCTION("""COMPUTED_VALUE"""),"No")</f>
        <v>No</v>
      </c>
      <c r="E34" s="2" t="str">
        <f>IFERROR(__xludf.DUMMYFUNCTION("""COMPUTED_VALUE"""),"No")</f>
        <v>No</v>
      </c>
      <c r="F34" s="2" t="str">
        <f>IFERROR(__xludf.DUMMYFUNCTION("""COMPUTED_VALUE"""),"Yes")</f>
        <v>Yes</v>
      </c>
      <c r="G34" s="2">
        <f>IFERROR(__xludf.DUMMYFUNCTION("""COMPUTED_VALUE"""),1.0)</f>
        <v>1</v>
      </c>
      <c r="H34" s="2">
        <f>IFERROR(__xludf.DUMMYFUNCTION("""COMPUTED_VALUE"""),0.5)</f>
        <v>0.5</v>
      </c>
      <c r="I34" s="2">
        <f>IFERROR(__xludf.DUMMYFUNCTION("""COMPUTED_VALUE"""),1.0)</f>
        <v>1</v>
      </c>
      <c r="J34" s="2">
        <f>IFERROR(__xludf.DUMMYFUNCTION("""COMPUTED_VALUE"""),0.0)</f>
        <v>0</v>
      </c>
      <c r="K34" s="2" t="str">
        <f>IFERROR(__xludf.DUMMYFUNCTION("""COMPUTED_VALUE"""),"5 – High-quality, Clean Bangla speech")</f>
        <v>5 – High-quality, Clean Bangla speech</v>
      </c>
      <c r="L34" s="2" t="str">
        <f>IFERROR(__xludf.DUMMYFUNCTION("""COMPUTED_VALUE"""),"No")</f>
        <v>No</v>
      </c>
    </row>
    <row r="35">
      <c r="A35" s="2" t="str">
        <f>IFERROR(__xludf.DUMMYFUNCTION("""COMPUTED_VALUE"""),"collect/miscellaneous/Dhaka FM\DFM - AUDIO CLIP (03-01-2023)/04e8a8ce-a376-41b0-b1d4-4b19ce1423d0.flac")</f>
        <v>collect/miscellaneous/Dhaka FM\DFM - AUDIO CLIP (03-01-2023)/04e8a8ce-a376-41b0-b1d4-4b19ce1423d0.flac</v>
      </c>
      <c r="B35" s="2">
        <f>IFERROR(__xludf.DUMMYFUNCTION("""COMPUTED_VALUE"""),30.0)</f>
        <v>30</v>
      </c>
      <c r="C35" s="2" t="str">
        <f>IFERROR(__xludf.DUMMYFUNCTION("""COMPUTED_VALUE"""),"ানেডিহাইড্রেড ছাটমি আছে ডি হাইড্রেট বোল থাকে তাটা যদি না থাকে তাহলে একটা চাল নির মধ্যে এটাকে নিয়ে খুব সুন্দর করে ঢেকে ছায়াযুক্ত স্থানে এটাকে চার ঘণ্টা ধরে শোকান পানিটা যেন ঝোরে যে এবং এটা যেন শুকিয়ে যায় শুকিয়ে গেলে দেখবেন এটা একদম চিপসের মতো পাতলা হয়ে গেছ"&amp;"ে দেন আপনি এটাকে পটে ভরে রেখে দিন বয়ামে পড়ে রেখে দিন হয়ে গেল আপনার অ্যাপল শিপস এই চিপস্ট আপনি যেকোনো ডেজাল্টে ইউজ করতে পারেন যে কোনো খাবারের সেতা মেটে ইউজ করতে পারেন ওরইউকেন হ্যাভিট উইথকোা")</f>
        <v>ানেডিহাইড্রেড ছাটমি আছে ডি হাইড্রেট বোল থাকে তাটা যদি না থাকে তাহলে একটা চাল নির মধ্যে এটাকে নিয়ে খুব সুন্দর করে ঢেকে ছায়াযুক্ত স্থানে এটাকে চার ঘণ্টা ধরে শোকান পানিটা যেন ঝোরে যে এবং এটা যেন শুকিয়ে যায় শুকিয়ে গেলে দেখবেন এটা একদম চিপসের মতো পাতলা হয়ে গেছে দেন আপনি এটাকে পটে ভরে রেখে দিন বয়ামে পড়ে রেখে দিন হয়ে গেল আপনার অ্যাপল শিপস এই চিপস্ট আপনি যেকোনো ডেজাল্টে ইউজ করতে পারেন যে কোনো খাবারের সেতা মেটে ইউজ করতে পারেন ওরইউকেন হ্যাভিট উইথকোা</v>
      </c>
      <c r="D35" s="2" t="str">
        <f>IFERROR(__xludf.DUMMYFUNCTION("""COMPUTED_VALUE"""),"No")</f>
        <v>No</v>
      </c>
      <c r="E35" s="2" t="str">
        <f>IFERROR(__xludf.DUMMYFUNCTION("""COMPUTED_VALUE"""),"Yes")</f>
        <v>Yes</v>
      </c>
      <c r="F35" s="2" t="str">
        <f>IFERROR(__xludf.DUMMYFUNCTION("""COMPUTED_VALUE"""),"Yes")</f>
        <v>Yes</v>
      </c>
      <c r="G35" s="2">
        <f>IFERROR(__xludf.DUMMYFUNCTION("""COMPUTED_VALUE"""),1.0)</f>
        <v>1</v>
      </c>
      <c r="H35" s="2">
        <f>IFERROR(__xludf.DUMMYFUNCTION("""COMPUTED_VALUE"""),1.0)</f>
        <v>1</v>
      </c>
      <c r="I35" s="2">
        <f>IFERROR(__xludf.DUMMYFUNCTION("""COMPUTED_VALUE"""),0.5)</f>
        <v>0.5</v>
      </c>
      <c r="J35" s="2">
        <f>IFERROR(__xludf.DUMMYFUNCTION("""COMPUTED_VALUE"""),0.0)</f>
        <v>0</v>
      </c>
      <c r="K35" s="2" t="str">
        <f>IFERROR(__xludf.DUMMYFUNCTION("""COMPUTED_VALUE"""),"5 – High-quality, Clean Bangla speech")</f>
        <v>5 – High-quality, Clean Bangla speech</v>
      </c>
      <c r="L35" s="2" t="str">
        <f>IFERROR(__xludf.DUMMYFUNCTION("""COMPUTED_VALUE"""),"No")</f>
        <v>No</v>
      </c>
    </row>
    <row r="36">
      <c r="A36" s="2" t="str">
        <f>IFERROR(__xludf.DUMMYFUNCTION("""COMPUTED_VALUE"""),"collect/miscellaneous/Dhaka FM\DFM - AUDIO CLIP (03-01-2023)/050f3585-3c35-413f-b979-153d5e42424b.flac")</f>
        <v>collect/miscellaneous/Dhaka FM\DFM - AUDIO CLIP (03-01-2023)/050f3585-3c35-413f-b979-153d5e42424b.flac</v>
      </c>
      <c r="B36" s="2">
        <f>IFERROR(__xludf.DUMMYFUNCTION("""COMPUTED_VALUE"""),30.0)</f>
        <v>30</v>
      </c>
      <c r="C36" s="2" t="str">
        <f>IFERROR(__xludf.DUMMYFUNCTION("""COMPUTED_VALUE"""),"অনেক গরম আর গরম পড়তেছে এই হালকা পাততে কিছু মার্কেট করলাম এ নিজের প্রয়োজনে জিনিস ফ্যেমিলির প্রয়োজনীয় জিনিস এগুলো কিননে এখন দেশে চলে যাব টিকিট কি না হয়েছে াটিকেট কেনে হয়েছে অনলাইন থেক িনি বা চমৎকার ধন্যবাদ আপ এবং আপনিও যদি আপনার ট্রাভেলের টিকেট কিংবা আপনি ব"&amp;"াংলাদেশের বাইরে যদি যেতে চান সেই টিকেটে যদি কিনতে চান তাহলে কিন্তু আপনি অবশ্যই ফ্লাই এশিয়ার সাথে আপনার টিকেট কেনর ঝামেলাটা সেড়ে ফেলতে পারেন বা টিকেট কেনার প্ল্যানটা করতে পারেন কারণ সেখান থেকে কিনলে আপনি কিন্তু পেয়ে যাচ্ছেন আপ")</f>
        <v>অনেক গরম আর গরম পড়তেছে এই হালকা পাততে কিছু মার্কেট করলাম এ নিজের প্রয়োজনে জিনিস ফ্যেমিলির প্রয়োজনীয় জিনিস এগুলো কিননে এখন দেশে চলে যাব টিকিট কি না হয়েছে াটিকেট কেনে হয়েছে অনলাইন থেক িনি বা চমৎকার ধন্যবাদ আপ এবং আপনিও যদি আপনার ট্রাভেলের টিকেট কিংবা আপনি বাংলাদেশের বাইরে যদি যেতে চান সেই টিকেটে যদি কিনতে চান তাহলে কিন্তু আপনি অবশ্যই ফ্লাই এশিয়ার সাথে আপনার টিকেট কেনর ঝামেলাটা সেড়ে ফেলতে পারেন বা টিকেট কেনার প্ল্যানটা করতে পারেন কারণ সেখান থেকে কিনলে আপনি কিন্তু পেয়ে যাচ্ছেন আপ</v>
      </c>
      <c r="D36" s="2" t="str">
        <f>IFERROR(__xludf.DUMMYFUNCTION("""COMPUTED_VALUE"""),"No")</f>
        <v>No</v>
      </c>
      <c r="E36" s="2" t="str">
        <f>IFERROR(__xludf.DUMMYFUNCTION("""COMPUTED_VALUE"""),"No")</f>
        <v>No</v>
      </c>
      <c r="F36" s="2" t="str">
        <f>IFERROR(__xludf.DUMMYFUNCTION("""COMPUTED_VALUE"""),"Yes")</f>
        <v>Yes</v>
      </c>
      <c r="G36" s="2">
        <f>IFERROR(__xludf.DUMMYFUNCTION("""COMPUTED_VALUE"""),1.0)</f>
        <v>1</v>
      </c>
      <c r="H36" s="2">
        <f>IFERROR(__xludf.DUMMYFUNCTION("""COMPUTED_VALUE"""),0.5)</f>
        <v>0.5</v>
      </c>
      <c r="I36" s="2">
        <f>IFERROR(__xludf.DUMMYFUNCTION("""COMPUTED_VALUE"""),1.0)</f>
        <v>1</v>
      </c>
      <c r="J36" s="2">
        <f>IFERROR(__xludf.DUMMYFUNCTION("""COMPUTED_VALUE"""),0.5)</f>
        <v>0.5</v>
      </c>
      <c r="K36" s="2" t="str">
        <f>IFERROR(__xludf.DUMMYFUNCTION("""COMPUTED_VALUE"""),"5 – High-quality, Clean Bangla speech")</f>
        <v>5 – High-quality, Clean Bangla speech</v>
      </c>
      <c r="L36" s="2" t="str">
        <f>IFERROR(__xludf.DUMMYFUNCTION("""COMPUTED_VALUE"""),"No")</f>
        <v>No</v>
      </c>
    </row>
    <row r="37">
      <c r="A37" s="2" t="str">
        <f>IFERROR(__xludf.DUMMYFUNCTION("""COMPUTED_VALUE"""),"collect/miscellaneous/Dhaka FM\DFM - AUDIO CLIP (03-01-2023)/0542e705-50c2-4561-9970-78a6a65eae3a.flac")</f>
        <v>collect/miscellaneous/Dhaka FM\DFM - AUDIO CLIP (03-01-2023)/0542e705-50c2-4561-9970-78a6a65eae3a.flac</v>
      </c>
      <c r="B37" s="2">
        <f>IFERROR(__xludf.DUMMYFUNCTION("""COMPUTED_VALUE"""),30.0)</f>
        <v>30</v>
      </c>
      <c r="C37" s="2" t="str">
        <f>IFERROR(__xludf.DUMMYFUNCTION("""COMPUTED_VALUE"""),"সেটা করতে হবে যারা রিকশা করে নিয়ে যে দোয়েল চত্বরে গিয়েই থেমে যেতে হবে অথবা আরেকটা করতে পারেন ও যে শহীদ মিনানটা আছে না ওদিক দিয়ে ঘুে গিয়ে আপনি যদি টিএসির মোড়ে রিকশাটা থামিয়ে দেন তাহলে কম হাঁটতে হবে আর তানা হলো দোয়েল চত্বর দিয়ে গেলে কিন্তু অনেকটা বেশি হাঁটত"&amp;"ে হবে আরেকটা করতে পারেন শাহবাগ থেকে নেমে যদি নামার দরকার নাই ওখানে রিকশা করে এনি টিএসির চত্বরে যদি রেখে দেন তাহলেও অনেকটা কাছে হবে আর বাইরে তো অনেকেই বিভিন্ন বই নিয়ে বসেন ত আপনার পছন্দর মতো বই কিন্তু আপনি সেখান থেকে বেছে নিতে পারেন")</f>
        <v>সেটা করতে হবে যারা রিকশা করে নিয়ে যে দোয়েল চত্বরে গিয়েই থেমে যেতে হবে অথবা আরেকটা করতে পারেন ও যে শহীদ মিনানটা আছে না ওদিক দিয়ে ঘুে গিয়ে আপনি যদি টিএসির মোড়ে রিকশাটা থামিয়ে দেন তাহলে কম হাঁটতে হবে আর তানা হলো দোয়েল চত্বর দিয়ে গেলে কিন্তু অনেকটা বেশি হাঁটতে হবে আরেকটা করতে পারেন শাহবাগ থেকে নেমে যদি নামার দরকার নাই ওখানে রিকশা করে এনি টিএসির চত্বরে যদি রেখে দেন তাহলেও অনেকটা কাছে হবে আর বাইরে তো অনেকেই বিভিন্ন বই নিয়ে বসেন ত আপনার পছন্দর মতো বই কিন্তু আপনি সেখান থেকে বেছে নিতে পারেন</v>
      </c>
      <c r="D37" s="2" t="str">
        <f>IFERROR(__xludf.DUMMYFUNCTION("""COMPUTED_VALUE"""),"No")</f>
        <v>No</v>
      </c>
      <c r="E37" s="2" t="str">
        <f>IFERROR(__xludf.DUMMYFUNCTION("""COMPUTED_VALUE"""),"No")</f>
        <v>No</v>
      </c>
      <c r="F37" s="2" t="str">
        <f>IFERROR(__xludf.DUMMYFUNCTION("""COMPUTED_VALUE"""),"Yes")</f>
        <v>Yes</v>
      </c>
      <c r="G37" s="2">
        <f>IFERROR(__xludf.DUMMYFUNCTION("""COMPUTED_VALUE"""),1.0)</f>
        <v>1</v>
      </c>
      <c r="H37" s="2">
        <f>IFERROR(__xludf.DUMMYFUNCTION("""COMPUTED_VALUE"""),1.0)</f>
        <v>1</v>
      </c>
      <c r="I37" s="2">
        <f>IFERROR(__xludf.DUMMYFUNCTION("""COMPUTED_VALUE"""),1.0)</f>
        <v>1</v>
      </c>
      <c r="J37" s="2">
        <f>IFERROR(__xludf.DUMMYFUNCTION("""COMPUTED_VALUE"""),0.5)</f>
        <v>0.5</v>
      </c>
      <c r="K37" s="2" t="str">
        <f>IFERROR(__xludf.DUMMYFUNCTION("""COMPUTED_VALUE"""),"5 – High-quality, Clean Bangla speech")</f>
        <v>5 – High-quality, Clean Bangla speech</v>
      </c>
      <c r="L37" s="2" t="str">
        <f>IFERROR(__xludf.DUMMYFUNCTION("""COMPUTED_VALUE"""),"No")</f>
        <v>No</v>
      </c>
    </row>
    <row r="38">
      <c r="A38" s="2" t="str">
        <f>IFERROR(__xludf.DUMMYFUNCTION("""COMPUTED_VALUE"""),"collect/miscellaneous/Dhaka FM\DFM - AUDIO CLIP (03-01-2023)/055a07a8-61f8-4ecb-b8f0-e738142dfb02.flac")</f>
        <v>collect/miscellaneous/Dhaka FM\DFM - AUDIO CLIP (03-01-2023)/055a07a8-61f8-4ecb-b8f0-e738142dfb02.flac</v>
      </c>
      <c r="B38" s="2">
        <f>IFERROR(__xludf.DUMMYFUNCTION("""COMPUTED_VALUE"""),30.0)</f>
        <v>30</v>
      </c>
      <c r="C38" s="2" t="str">
        <f>IFERROR(__xludf.DUMMYFUNCTION("""COMPUTED_VALUE"""),"স্রাইফ ইউ যে কালাটা পছন্দ হবে ম্যাগাজিন পেপারে থেকে যে আপনারের আয়েশেযা দিতে ইচ্ছ হচ্ছে এবং এই কালারটাপনেন্ট ড্রেসের সাথে একদম চমৎকার মানিয়ে যাচ্ছে এবং ইউনিখ একটা খালার হবে অ্যান্ড শেড হবে জেস্ট ডু ওয়ান থিং ডিউডিয়রেন্ট আছে না ডিউডিওরেন্ট সেটা রোল করতে থাকু"&amp;"ন ই কালাটার উপরে এনদেন কিছুক্ষণ পর এখান থেকে আঙ্গুল দিয়ে জাস্ট কালারটা নিয়ে আপনার চোখের আইলিডের উপরে দিয়ে দিন এনদেন দেখবেন চমাৎপ্র একটা শেট পেয়ে গেছেন এসে ট্রে এগেয়েইসে ট্রে এগে ওকে")</f>
        <v>স্রাইফ ইউ যে কালাটা পছন্দ হবে ম্যাগাজিন পেপারে থেকে যে আপনারের আয়েশেযা দিতে ইচ্ছ হচ্ছে এবং এই কালারটাপনেন্ট ড্রেসের সাথে একদম চমৎকার মানিয়ে যাচ্ছে এবং ইউনিখ একটা খালার হবে অ্যান্ড শেড হবে জেস্ট ডু ওয়ান থিং ডিউডিয়রেন্ট আছে না ডিউডিওরেন্ট সেটা রোল করতে থাকুন ই কালাটার উপরে এনদেন কিছুক্ষণ পর এখান থেকে আঙ্গুল দিয়ে জাস্ট কালারটা নিয়ে আপনার চোখের আইলিডের উপরে দিয়ে দিন এনদেন দেখবেন চমাৎপ্র একটা শেট পেয়ে গেছেন এসে ট্রে এগেয়েইসে ট্রে এগে ওকে</v>
      </c>
      <c r="D38" s="2" t="str">
        <f>IFERROR(__xludf.DUMMYFUNCTION("""COMPUTED_VALUE"""),"No")</f>
        <v>No</v>
      </c>
      <c r="E38" s="2" t="str">
        <f>IFERROR(__xludf.DUMMYFUNCTION("""COMPUTED_VALUE"""),"No")</f>
        <v>No</v>
      </c>
      <c r="F38" s="2" t="str">
        <f>IFERROR(__xludf.DUMMYFUNCTION("""COMPUTED_VALUE"""),"Yes")</f>
        <v>Yes</v>
      </c>
      <c r="G38" s="2">
        <f>IFERROR(__xludf.DUMMYFUNCTION("""COMPUTED_VALUE"""),0.5)</f>
        <v>0.5</v>
      </c>
      <c r="H38" s="2">
        <f>IFERROR(__xludf.DUMMYFUNCTION("""COMPUTED_VALUE"""),0.5)</f>
        <v>0.5</v>
      </c>
      <c r="I38" s="2">
        <f>IFERROR(__xludf.DUMMYFUNCTION("""COMPUTED_VALUE"""),1.0)</f>
        <v>1</v>
      </c>
      <c r="J38" s="2">
        <f>IFERROR(__xludf.DUMMYFUNCTION("""COMPUTED_VALUE"""),0.0)</f>
        <v>0</v>
      </c>
      <c r="K38" s="2" t="str">
        <f>IFERROR(__xludf.DUMMYFUNCTION("""COMPUTED_VALUE"""),"3 – Mixed language or inconsistent quality")</f>
        <v>3 – Mixed language or inconsistent quality</v>
      </c>
      <c r="L38" s="2" t="str">
        <f>IFERROR(__xludf.DUMMYFUNCTION("""COMPUTED_VALUE"""),"Yes")</f>
        <v>Yes</v>
      </c>
    </row>
    <row r="39">
      <c r="A39" s="2" t="str">
        <f>IFERROR(__xludf.DUMMYFUNCTION("""COMPUTED_VALUE"""),"collect/miscellaneous/Dhaka FM\DFM - AUDIO CLIP (03-01-2023)/05ac27cb-8ca2-4de7-8bae-11e8ba065d2e.flac")</f>
        <v>collect/miscellaneous/Dhaka FM\DFM - AUDIO CLIP (03-01-2023)/05ac27cb-8ca2-4de7-8bae-11e8ba065d2e.flac</v>
      </c>
      <c r="B39" s="2">
        <f>IFERROR(__xludf.DUMMYFUNCTION("""COMPUTED_VALUE"""),30.0)</f>
        <v>30</v>
      </c>
      <c r="C39" s="2" t="str">
        <f>IFERROR(__xludf.DUMMYFUNCTION("""COMPUTED_VALUE"""),"া আমরা একটু জানব এবং আপনাদেরকে নিয়ে যাব পিং ক্যাপুল কাছে এই মুহূর্ত নগদ ঈদ শপিং আপডেট চেন্বার জন্য ত্যাংকিউ তো এখন আমি আছি ধানমন্ডি মেট্রো শপিং মলে আন্ড দেখতে পারছি এখানে ভালোই ভিড় আছে যেহেতু রমজান মাস চলছে অ্যান্ড সামনে কিন্তু ই আস্তে আস্তে করেটা আমাদের "&amp;"কাছেই চলে আসছে তো শপিংয়ের ধূম আস্তে আস্তে আরো বেশি বেড়ে যাবে তো এখানে সবাই মোটামুটি শপিং নিয়ে ব্যস্তই আছে মধ্যে একটা ভাইয়াকে আমি একটু ফ্রি পেয়েছি ভাইরের সাথে আমি একটু কথা বলে নি আলো ভাইয়া কেমন আছেন")</f>
        <v>া আমরা একটু জানব এবং আপনাদেরকে নিয়ে যাব পিং ক্যাপুল কাছে এই মুহূর্ত নগদ ঈদ শপিং আপডেট চেন্বার জন্য ত্যাংকিউ তো এখন আমি আছি ধানমন্ডি মেট্রো শপিং মলে আন্ড দেখতে পারছি এখানে ভালোই ভিড় আছে যেহেতু রমজান মাস চলছে অ্যান্ড সামনে কিন্তু ই আস্তে আস্তে করেটা আমাদের কাছেই চলে আসছে তো শপিংয়ের ধূম আস্তে আস্তে আরো বেশি বেড়ে যাবে তো এখানে সবাই মোটামুটি শপিং নিয়ে ব্যস্তই আছে মধ্যে একটা ভাইয়াকে আমি একটু ফ্রি পেয়েছি ভাইরের সাথে আমি একটু কথা বলে নি আলো ভাইয়া কেমন আছেন</v>
      </c>
      <c r="D39" s="2" t="str">
        <f>IFERROR(__xludf.DUMMYFUNCTION("""COMPUTED_VALUE"""),"No")</f>
        <v>No</v>
      </c>
      <c r="E39" s="2" t="str">
        <f>IFERROR(__xludf.DUMMYFUNCTION("""COMPUTED_VALUE"""),"Yes")</f>
        <v>Yes</v>
      </c>
      <c r="F39" s="2" t="str">
        <f>IFERROR(__xludf.DUMMYFUNCTION("""COMPUTED_VALUE"""),"Yes")</f>
        <v>Yes</v>
      </c>
      <c r="G39" s="2">
        <f>IFERROR(__xludf.DUMMYFUNCTION("""COMPUTED_VALUE"""),1.0)</f>
        <v>1</v>
      </c>
      <c r="H39" s="2">
        <f>IFERROR(__xludf.DUMMYFUNCTION("""COMPUTED_VALUE"""),0.5)</f>
        <v>0.5</v>
      </c>
      <c r="I39" s="2">
        <f>IFERROR(__xludf.DUMMYFUNCTION("""COMPUTED_VALUE"""),1.0)</f>
        <v>1</v>
      </c>
      <c r="J39" s="2">
        <f>IFERROR(__xludf.DUMMYFUNCTION("""COMPUTED_VALUE"""),0.0)</f>
        <v>0</v>
      </c>
      <c r="K39" s="2" t="str">
        <f>IFERROR(__xludf.DUMMYFUNCTION("""COMPUTED_VALUE"""),"5 – High-quality, Clean Bangla speech")</f>
        <v>5 – High-quality, Clean Bangla speech</v>
      </c>
      <c r="L39" s="2" t="str">
        <f>IFERROR(__xludf.DUMMYFUNCTION("""COMPUTED_VALUE"""),"No")</f>
        <v>No</v>
      </c>
    </row>
    <row r="40">
      <c r="A40" s="2" t="str">
        <f>IFERROR(__xludf.DUMMYFUNCTION("""COMPUTED_VALUE"""),"collect/miscellaneous/Dhaka FM\DFM - AUDIO CLIP (03-01-2023)/05b77ca8-01a0-4204-b87c-84d288e3143e.flac")</f>
        <v>collect/miscellaneous/Dhaka FM\DFM - AUDIO CLIP (03-01-2023)/05b77ca8-01a0-4204-b87c-84d288e3143e.flac</v>
      </c>
      <c r="B40" s="2">
        <f>IFERROR(__xludf.DUMMYFUNCTION("""COMPUTED_VALUE"""),30.0)</f>
        <v>30</v>
      </c>
      <c r="C40" s="2" t="str">
        <f>IFERROR(__xludf.DUMMYFUNCTION("""COMPUTED_VALUE"""),"সৈন্যতা এবং ব্যবস্থাপনা বিষয়ক জ্ঞাম যেমন ধরেন আপনি ফেব্রিক্স কার্টুন কোথায় রাখবেন ফায়ার এক্সটুঙ গুশার কোথায় থাকবে টয়লেট কিভাবে ব্যবহার করতে হবে পরিষ্কার পরিচ্ছন্ন রাখতে হবে এগুলোই হাউজ কিভিল তাই যত্রতত্র মালামাল রেখে পানি বের হওয়ার যন্ত্রের মাথা অগ্নিনির্"&amp;"ভাপক যন্ত্র এবং অ্যালার্মের যন্ত্র ইত্যাদি বন্ধ রাখবেন না জরুরি চলাচলের পথ বন্ধ রাখা যাবে না শিঁড়িতে ও মালপত্র বক্স বা কার্টন রাখা যাবে না ফায়ার এক্সটিন্ুিশার ফরস্ট্েইট বক্স এবং ইমার্জেন্সি সয়ার বন্ধ রাখা যাবে না")</f>
        <v>সৈন্যতা এবং ব্যবস্থাপনা বিষয়ক জ্ঞাম যেমন ধরেন আপনি ফেব্রিক্স কার্টুন কোথায় রাখবেন ফায়ার এক্সটুঙ গুশার কোথায় থাকবে টয়লেট কিভাবে ব্যবহার করতে হবে পরিষ্কার পরিচ্ছন্ন রাখতে হবে এগুলোই হাউজ কিভিল তাই যত্রতত্র মালামাল রেখে পানি বের হওয়ার যন্ত্রের মাথা অগ্নিনির্ভাপক যন্ত্র এবং অ্যালার্মের যন্ত্র ইত্যাদি বন্ধ রাখবেন না জরুরি চলাচলের পথ বন্ধ রাখা যাবে না শিঁড়িতে ও মালপত্র বক্স বা কার্টন রাখা যাবে না ফায়ার এক্সটিন্ুিশার ফরস্ট্েইট বক্স এবং ইমার্জেন্সি সয়ার বন্ধ রাখা যাবে না</v>
      </c>
      <c r="D40" s="2" t="str">
        <f>IFERROR(__xludf.DUMMYFUNCTION("""COMPUTED_VALUE"""),"No")</f>
        <v>No</v>
      </c>
      <c r="E40" s="2" t="str">
        <f>IFERROR(__xludf.DUMMYFUNCTION("""COMPUTED_VALUE"""),"No")</f>
        <v>No</v>
      </c>
      <c r="F40" s="2" t="str">
        <f>IFERROR(__xludf.DUMMYFUNCTION("""COMPUTED_VALUE"""),"Yes")</f>
        <v>Yes</v>
      </c>
      <c r="G40" s="2">
        <f>IFERROR(__xludf.DUMMYFUNCTION("""COMPUTED_VALUE"""),0.5)</f>
        <v>0.5</v>
      </c>
      <c r="H40" s="2">
        <f>IFERROR(__xludf.DUMMYFUNCTION("""COMPUTED_VALUE"""),0.5)</f>
        <v>0.5</v>
      </c>
      <c r="I40" s="2">
        <f>IFERROR(__xludf.DUMMYFUNCTION("""COMPUTED_VALUE"""),0.5)</f>
        <v>0.5</v>
      </c>
      <c r="J40" s="2">
        <f>IFERROR(__xludf.DUMMYFUNCTION("""COMPUTED_VALUE"""),0.0)</f>
        <v>0</v>
      </c>
      <c r="K40" s="2" t="str">
        <f>IFERROR(__xludf.DUMMYFUNCTION("""COMPUTED_VALUE"""),"5 – High-quality, Clean Bangla speech")</f>
        <v>5 – High-quality, Clean Bangla speech</v>
      </c>
      <c r="L40" s="2" t="str">
        <f>IFERROR(__xludf.DUMMYFUNCTION("""COMPUTED_VALUE"""),"No")</f>
        <v>No</v>
      </c>
    </row>
    <row r="41">
      <c r="A41" s="2" t="str">
        <f>IFERROR(__xludf.DUMMYFUNCTION("""COMPUTED_VALUE"""),"collect/miscellaneous/Dhaka FM\DFM - AUDIO CLIP (03-01-2023)/05dfb551-0fb0-4bb9-b039-4eb64283c37d.flac")</f>
        <v>collect/miscellaneous/Dhaka FM\DFM - AUDIO CLIP (03-01-2023)/05dfb551-0fb0-4bb9-b039-4eb64283c37d.flac</v>
      </c>
      <c r="B41" s="2">
        <f>IFERROR(__xludf.DUMMYFUNCTION("""COMPUTED_VALUE"""),26.623)</f>
        <v>26.623</v>
      </c>
      <c r="C41" s="2" t="str">
        <f>IFERROR(__xludf.DUMMYFUNCTION("""COMPUTED_VALUE"""),"কৃষি নগদে বেশি লাভ নগদ ঈদ শোপিংয় ফিরলাম আমি আবারও পিঙ্কি আছি আপনাদের সাথে সো আনাদেখে জানি যিচ্ছে গত তিন বছর ধরেই নগদ ইসলামিক এমএফএস অ্যাকাউন্ট আছে আপনাদের সাথে আপনারা চাইলেই মোবাইল লেনদেনের নানা রকম সুবিধা উপভোগ করতে পারবেন সুদবিহীন এই নগদ ইসলামিক এমএফএস "&amp;"অ্যাকাউন্ট থেকে শুনছেন ঢাকায় নাইনটি পয়েন্ট ফোর")</f>
        <v>কৃষি নগদে বেশি লাভ নগদ ঈদ শোপিংয় ফিরলাম আমি আবারও পিঙ্কি আছি আপনাদের সাথে সো আনাদেখে জানি যিচ্ছে গত তিন বছর ধরেই নগদ ইসলামিক এমএফএস অ্যাকাউন্ট আছে আপনাদের সাথে আপনারা চাইলেই মোবাইল লেনদেনের নানা রকম সুবিধা উপভোগ করতে পারবেন সুদবিহীন এই নগদ ইসলামিক এমএফএস অ্যাকাউন্ট থেকে শুনছেন ঢাকায় নাইনটি পয়েন্ট ফোর</v>
      </c>
      <c r="D41" s="2" t="str">
        <f>IFERROR(__xludf.DUMMYFUNCTION("""COMPUTED_VALUE"""),"No")</f>
        <v>No</v>
      </c>
      <c r="E41" s="2" t="str">
        <f>IFERROR(__xludf.DUMMYFUNCTION("""COMPUTED_VALUE"""),"No")</f>
        <v>No</v>
      </c>
      <c r="F41" s="2" t="str">
        <f>IFERROR(__xludf.DUMMYFUNCTION("""COMPUTED_VALUE"""),"Yes")</f>
        <v>Yes</v>
      </c>
      <c r="G41" s="2">
        <f>IFERROR(__xludf.DUMMYFUNCTION("""COMPUTED_VALUE"""),1.0)</f>
        <v>1</v>
      </c>
      <c r="H41" s="2">
        <f>IFERROR(__xludf.DUMMYFUNCTION("""COMPUTED_VALUE"""),1.0)</f>
        <v>1</v>
      </c>
      <c r="I41" s="2">
        <f>IFERROR(__xludf.DUMMYFUNCTION("""COMPUTED_VALUE"""),1.0)</f>
        <v>1</v>
      </c>
      <c r="J41" s="2">
        <f>IFERROR(__xludf.DUMMYFUNCTION("""COMPUTED_VALUE"""),0.5)</f>
        <v>0.5</v>
      </c>
      <c r="K41" s="2" t="str">
        <f>IFERROR(__xludf.DUMMYFUNCTION("""COMPUTED_VALUE"""),"5 – High-quality, Clean Bangla speech")</f>
        <v>5 – High-quality, Clean Bangla speech</v>
      </c>
      <c r="L41" s="2" t="str">
        <f>IFERROR(__xludf.DUMMYFUNCTION("""COMPUTED_VALUE"""),"No")</f>
        <v>No</v>
      </c>
    </row>
    <row r="42">
      <c r="A42" s="2" t="str">
        <f>IFERROR(__xludf.DUMMYFUNCTION("""COMPUTED_VALUE"""),"collect/miscellaneous/Dhaka FM\DFM - AUDIO CLIP (03-01-2023)/05e2aa1d-575a-488e-91cf-37b9f2e49d7f.flac")</f>
        <v>collect/miscellaneous/Dhaka FM\DFM - AUDIO CLIP (03-01-2023)/05e2aa1d-575a-488e-91cf-37b9f2e49d7f.flac</v>
      </c>
      <c r="B42" s="2">
        <f>IFERROR(__xludf.DUMMYFUNCTION("""COMPUTED_VALUE"""),10.944)</f>
        <v>10.944</v>
      </c>
      <c r="C42" s="2" t="str">
        <f>IFERROR(__xludf.DUMMYFUNCTION("""COMPUTED_VALUE"""),"টেন্জমানি অ্যান্ডমানি মোবাইল রিচার দোনেশন সভপতি দিনের সব ধরনের লেনদেন করতে পারবেন শোরিয়া সম্মতভাবে শুন্ধু থাকুন ঢাকায় ফেয়ান দারী পয়েন্ট ফোর এক মেহেশনাইক্স্টেশন")</f>
        <v>টেন্জমানি অ্যান্ডমানি মোবাইল রিচার দোনেশন সভপতি দিনের সব ধরনের লেনদেন করতে পারবেন শোরিয়া সম্মতভাবে শুন্ধু থাকুন ঢাকায় ফেয়ান দারী পয়েন্ট ফোর এক মেহেশনাইক্স্টেশন</v>
      </c>
      <c r="D42" s="2" t="str">
        <f>IFERROR(__xludf.DUMMYFUNCTION("""COMPUTED_VALUE"""),"No")</f>
        <v>No</v>
      </c>
      <c r="E42" s="2" t="str">
        <f>IFERROR(__xludf.DUMMYFUNCTION("""COMPUTED_VALUE"""),"No")</f>
        <v>No</v>
      </c>
      <c r="F42" s="2" t="str">
        <f>IFERROR(__xludf.DUMMYFUNCTION("""COMPUTED_VALUE"""),"Yes")</f>
        <v>Yes</v>
      </c>
      <c r="G42" s="2">
        <f>IFERROR(__xludf.DUMMYFUNCTION("""COMPUTED_VALUE"""),0.5)</f>
        <v>0.5</v>
      </c>
      <c r="H42" s="2">
        <f>IFERROR(__xludf.DUMMYFUNCTION("""COMPUTED_VALUE"""),0.5)</f>
        <v>0.5</v>
      </c>
      <c r="I42" s="2">
        <f>IFERROR(__xludf.DUMMYFUNCTION("""COMPUTED_VALUE"""),0.5)</f>
        <v>0.5</v>
      </c>
      <c r="J42" s="2">
        <f>IFERROR(__xludf.DUMMYFUNCTION("""COMPUTED_VALUE"""),0.0)</f>
        <v>0</v>
      </c>
      <c r="K42" s="2" t="str">
        <f>IFERROR(__xludf.DUMMYFUNCTION("""COMPUTED_VALUE"""),"3 – Mixed language or inconsistent quality")</f>
        <v>3 – Mixed language or inconsistent quality</v>
      </c>
      <c r="L42" s="2" t="str">
        <f>IFERROR(__xludf.DUMMYFUNCTION("""COMPUTED_VALUE"""),"No")</f>
        <v>No</v>
      </c>
    </row>
    <row r="43">
      <c r="A43" s="2" t="str">
        <f>IFERROR(__xludf.DUMMYFUNCTION("""COMPUTED_VALUE"""),"collect/miscellaneous/Dhaka FM\DFM - AUDIO CLIP (03-01-2023)/05e9b431-5640-4fda-b976-12b8c0615e96.flac")</f>
        <v>collect/miscellaneous/Dhaka FM\DFM - AUDIO CLIP (03-01-2023)/05e9b431-5640-4fda-b976-12b8c0615e96.flac</v>
      </c>
      <c r="B43" s="2">
        <f>IFERROR(__xludf.DUMMYFUNCTION("""COMPUTED_VALUE"""),17.987)</f>
        <v>17.987</v>
      </c>
      <c r="C43" s="2" t="str">
        <f>IFERROR(__xludf.DUMMYFUNCTION("""COMPUTED_VALUE"""),"্ম জাতীয় যে গাছগুলো আছে না ইন্ডর সে গাছগুলো নেতিয়ে গেলে কিংবা একটু উৎচাপ ব্রাউন্ড কালার হতে শুরু করলে পাতাগুলো ওই সমস্ত সিচুয়েশন ম থেকে আপনি আপনার গাছটাকে রক্ষা করতে পারেন আপনার প্ল্ানটাকে রক্ষা করতে পারেন ইউক্রেন ট্রায়ার ইস্ট অ্যান্ড পানি ওকে ওকে")</f>
        <v>্ম জাতীয় যে গাছগুলো আছে না ইন্ডর সে গাছগুলো নেতিয়ে গেলে কিংবা একটু উৎচাপ ব্রাউন্ড কালার হতে শুরু করলে পাতাগুলো ওই সমস্ত সিচুয়েশন ম থেকে আপনি আপনার গাছটাকে রক্ষা করতে পারেন আপনার প্ল্ানটাকে রক্ষা করতে পারেন ইউক্রেন ট্রায়ার ইস্ট অ্যান্ড পানি ওকে ওকে</v>
      </c>
      <c r="D43" s="2" t="str">
        <f>IFERROR(__xludf.DUMMYFUNCTION("""COMPUTED_VALUE"""),"No")</f>
        <v>No</v>
      </c>
      <c r="E43" s="2" t="str">
        <f>IFERROR(__xludf.DUMMYFUNCTION("""COMPUTED_VALUE"""),"No")</f>
        <v>No</v>
      </c>
      <c r="F43" s="2" t="str">
        <f>IFERROR(__xludf.DUMMYFUNCTION("""COMPUTED_VALUE"""),"Yes")</f>
        <v>Yes</v>
      </c>
      <c r="G43" s="2">
        <f>IFERROR(__xludf.DUMMYFUNCTION("""COMPUTED_VALUE"""),0.5)</f>
        <v>0.5</v>
      </c>
      <c r="H43" s="2">
        <f>IFERROR(__xludf.DUMMYFUNCTION("""COMPUTED_VALUE"""),0.5)</f>
        <v>0.5</v>
      </c>
      <c r="I43" s="2">
        <f>IFERROR(__xludf.DUMMYFUNCTION("""COMPUTED_VALUE"""),0.5)</f>
        <v>0.5</v>
      </c>
      <c r="J43" s="2">
        <f>IFERROR(__xludf.DUMMYFUNCTION("""COMPUTED_VALUE"""),0.0)</f>
        <v>0</v>
      </c>
      <c r="K43" s="2" t="str">
        <f>IFERROR(__xludf.DUMMYFUNCTION("""COMPUTED_VALUE"""),"3 – Mixed language or inconsistent quality")</f>
        <v>3 – Mixed language or inconsistent quality</v>
      </c>
      <c r="L43" s="2" t="str">
        <f>IFERROR(__xludf.DUMMYFUNCTION("""COMPUTED_VALUE"""),"No")</f>
        <v>No</v>
      </c>
    </row>
    <row r="44">
      <c r="A44" s="2" t="str">
        <f>IFERROR(__xludf.DUMMYFUNCTION("""COMPUTED_VALUE"""),"collect/miscellaneous/Dhaka FM\DFM - AUDIO CLIP (03-01-2023)/06071420-dfed-4177-885f-3618b88b639e.flac")</f>
        <v>collect/miscellaneous/Dhaka FM\DFM - AUDIO CLIP (03-01-2023)/06071420-dfed-4177-885f-3618b88b639e.flac</v>
      </c>
      <c r="B44" s="2">
        <f>IFERROR(__xludf.DUMMYFUNCTION("""COMPUTED_VALUE"""),27.822)</f>
        <v>27.822</v>
      </c>
      <c r="C44" s="2" t="str">
        <f>IFERROR(__xludf.DUMMYFUNCTION("""COMPUTED_VALUE"""),"োমরা লাইকলেবু আর কিছু আছে টাওয়াল দিয়ে সুন্দরকারে পেঁচিয়ে রাখুন যেগুলো হার্প জাতীয় ওকেবাআইসোজেস্ট যে ভেজেটেবলটা ফ্রেসট্রেশ খেয়ে ফেলাটাই ভালো দরকার নাই প্রেজার্ভ করার তারপরও জানিয়ে রাখলাম যারা একটু ওয়ার্কিং অফিস গোয়িং সময় পান না তাদের জন্য এটা বললাম যেটা ডে"&amp;"লিডালি বাজার করার টাইমটাও হয় না তো তাদের জন্য দেশ খেজি কে ওয়েল হোওয়া আলনা ওয়াইনজি আয়দেট ফর")</f>
        <v>োমরা লাইকলেবু আর কিছু আছে টাওয়াল দিয়ে সুন্দরকারে পেঁচিয়ে রাখুন যেগুলো হার্প জাতীয় ওকেবাআইসোজেস্ট যে ভেজেটেবলটা ফ্রেসট্রেশ খেয়ে ফেলাটাই ভালো দরকার নাই প্রেজার্ভ করার তারপরও জানিয়ে রাখলাম যারা একটু ওয়ার্কিং অফিস গোয়িং সময় পান না তাদের জন্য এটা বললাম যেটা ডেলিডালি বাজার করার টাইমটাও হয় না তো তাদের জন্য দেশ খেজি কে ওয়েল হোওয়া আলনা ওয়াইনজি আয়দেট ফর</v>
      </c>
      <c r="D44" s="2" t="str">
        <f>IFERROR(__xludf.DUMMYFUNCTION("""COMPUTED_VALUE"""),"No")</f>
        <v>No</v>
      </c>
      <c r="E44" s="2" t="str">
        <f>IFERROR(__xludf.DUMMYFUNCTION("""COMPUTED_VALUE"""),"No")</f>
        <v>No</v>
      </c>
      <c r="F44" s="2" t="str">
        <f>IFERROR(__xludf.DUMMYFUNCTION("""COMPUTED_VALUE"""),"Yes")</f>
        <v>Yes</v>
      </c>
      <c r="G44" s="2">
        <f>IFERROR(__xludf.DUMMYFUNCTION("""COMPUTED_VALUE"""),0.5)</f>
        <v>0.5</v>
      </c>
      <c r="H44" s="2">
        <f>IFERROR(__xludf.DUMMYFUNCTION("""COMPUTED_VALUE"""),0.5)</f>
        <v>0.5</v>
      </c>
      <c r="I44" s="2">
        <f>IFERROR(__xludf.DUMMYFUNCTION("""COMPUTED_VALUE"""),0.5)</f>
        <v>0.5</v>
      </c>
      <c r="J44" s="2">
        <f>IFERROR(__xludf.DUMMYFUNCTION("""COMPUTED_VALUE"""),0.0)</f>
        <v>0</v>
      </c>
      <c r="K44" s="2" t="str">
        <f>IFERROR(__xludf.DUMMYFUNCTION("""COMPUTED_VALUE"""),"3 – Mixed language or inconsistent quality")</f>
        <v>3 – Mixed language or inconsistent quality</v>
      </c>
      <c r="L44" s="2" t="str">
        <f>IFERROR(__xludf.DUMMYFUNCTION("""COMPUTED_VALUE"""),"No")</f>
        <v>No</v>
      </c>
    </row>
    <row r="45">
      <c r="A45" s="2" t="str">
        <f>IFERROR(__xludf.DUMMYFUNCTION("""COMPUTED_VALUE"""),"collect/miscellaneous/Dhaka FM\DFM - AUDIO CLIP (03-01-2023)/061bd113-8ce1-4a54-a11f-4be69d18437d.flac")</f>
        <v>collect/miscellaneous/Dhaka FM\DFM - AUDIO CLIP (03-01-2023)/061bd113-8ce1-4a54-a11f-4be69d18437d.flac</v>
      </c>
      <c r="B45" s="2">
        <f>IFERROR(__xludf.DUMMYFUNCTION("""COMPUTED_VALUE"""),6.385)</f>
        <v>6.385</v>
      </c>
      <c r="C45" s="2" t="str">
        <f>IFERROR(__xludf.DUMMYFUNCTION("""COMPUTED_VALUE"""),"সার্ভিস নিন নিরাপ পত্মা ও বিশ্বস্ততার সাথে শুনছেন ঢাক এাফএম নাইনটি পয়েন্ট ফোর")</f>
        <v>সার্ভিস নিন নিরাপ পত্মা ও বিশ্বস্ততার সাথে শুনছেন ঢাক এাফএম নাইনটি পয়েন্ট ফোর</v>
      </c>
      <c r="D45" s="2" t="str">
        <f>IFERROR(__xludf.DUMMYFUNCTION("""COMPUTED_VALUE"""),"No")</f>
        <v>No</v>
      </c>
      <c r="E45" s="2" t="str">
        <f>IFERROR(__xludf.DUMMYFUNCTION("""COMPUTED_VALUE"""),"No")</f>
        <v>No</v>
      </c>
      <c r="F45" s="2" t="str">
        <f>IFERROR(__xludf.DUMMYFUNCTION("""COMPUTED_VALUE"""),"Yes")</f>
        <v>Yes</v>
      </c>
      <c r="G45" s="2">
        <f>IFERROR(__xludf.DUMMYFUNCTION("""COMPUTED_VALUE"""),1.0)</f>
        <v>1</v>
      </c>
      <c r="H45" s="2">
        <f>IFERROR(__xludf.DUMMYFUNCTION("""COMPUTED_VALUE"""),1.0)</f>
        <v>1</v>
      </c>
      <c r="I45" s="2">
        <f>IFERROR(__xludf.DUMMYFUNCTION("""COMPUTED_VALUE"""),0.5)</f>
        <v>0.5</v>
      </c>
      <c r="J45" s="2">
        <f>IFERROR(__xludf.DUMMYFUNCTION("""COMPUTED_VALUE"""),0.5)</f>
        <v>0.5</v>
      </c>
      <c r="K45" s="2" t="str">
        <f>IFERROR(__xludf.DUMMYFUNCTION("""COMPUTED_VALUE"""),"5 – High-quality, Clean Bangla speech")</f>
        <v>5 – High-quality, Clean Bangla speech</v>
      </c>
      <c r="L45" s="2" t="str">
        <f>IFERROR(__xludf.DUMMYFUNCTION("""COMPUTED_VALUE"""),"No")</f>
        <v>No</v>
      </c>
    </row>
    <row r="46">
      <c r="A46" s="2" t="str">
        <f>IFERROR(__xludf.DUMMYFUNCTION("""COMPUTED_VALUE"""),"collect/miscellaneous/Dhaka FM\DFM - AUDIO CLIP (03-01-2023)/0626f4b4-75d3-4246-9dba-cb327cea8dec.flac")</f>
        <v>collect/miscellaneous/Dhaka FM\DFM - AUDIO CLIP (03-01-2023)/0626f4b4-75d3-4246-9dba-cb327cea8dec.flac</v>
      </c>
      <c r="B46" s="2">
        <f>IFERROR(__xludf.DUMMYFUNCTION("""COMPUTED_VALUE"""),10.073)</f>
        <v>10.073</v>
      </c>
      <c r="C46" s="2" t="str">
        <f>IFERROR(__xludf.DUMMYFUNCTION("""COMPUTED_VALUE"""),"ইউক্রেনসে ে স ক্রাইজি ট্রিক বা িইউক্রেন ট্রায়েড সাম টাইমস ওই স্ামটেমস অ্যাক্চুয়লিট টেস্ট আওয়ার ক্রেজিনাস্রাইট রহাইড হেন জায়েদা ট্রাক")</f>
        <v>ইউক্রেনসে ে স ক্রাইজি ট্রিক বা িইউক্রেন ট্রায়েড সাম টাইমস ওই স্ামটেমস অ্যাক্চুয়লিট টেস্ট আওয়ার ক্রেজিনাস্রাইট রহাইড হেন জায়েদা ট্রাক</v>
      </c>
      <c r="D46" s="2" t="str">
        <f>IFERROR(__xludf.DUMMYFUNCTION("""COMPUTED_VALUE"""),"No")</f>
        <v>No</v>
      </c>
      <c r="E46" s="2" t="str">
        <f>IFERROR(__xludf.DUMMYFUNCTION("""COMPUTED_VALUE"""),"No")</f>
        <v>No</v>
      </c>
      <c r="F46" s="2" t="str">
        <f>IFERROR(__xludf.DUMMYFUNCTION("""COMPUTED_VALUE"""),"Yes")</f>
        <v>Yes</v>
      </c>
      <c r="G46" s="2">
        <f>IFERROR(__xludf.DUMMYFUNCTION("""COMPUTED_VALUE"""),0.5)</f>
        <v>0.5</v>
      </c>
      <c r="H46" s="2">
        <f>IFERROR(__xludf.DUMMYFUNCTION("""COMPUTED_VALUE"""),0.5)</f>
        <v>0.5</v>
      </c>
      <c r="I46" s="2">
        <f>IFERROR(__xludf.DUMMYFUNCTION("""COMPUTED_VALUE"""),0.5)</f>
        <v>0.5</v>
      </c>
      <c r="J46" s="2">
        <f>IFERROR(__xludf.DUMMYFUNCTION("""COMPUTED_VALUE"""),0.5)</f>
        <v>0.5</v>
      </c>
      <c r="K46" s="2" t="str">
        <f>IFERROR(__xludf.DUMMYFUNCTION("""COMPUTED_VALUE"""),"1 - Unusable Severely degraded, or non-Bangla")</f>
        <v>1 - Unusable Severely degraded, or non-Bangla</v>
      </c>
      <c r="L46" s="2" t="str">
        <f>IFERROR(__xludf.DUMMYFUNCTION("""COMPUTED_VALUE"""),"Yes")</f>
        <v>Yes</v>
      </c>
    </row>
    <row r="47">
      <c r="A47" s="2" t="str">
        <f>IFERROR(__xludf.DUMMYFUNCTION("""COMPUTED_VALUE"""),"collect/miscellaneous/Dhaka FM\DFM - AUDIO CLIP (03-01-2023)/0637a939-28f9-4070-b39f-2d63c8ff8504.flac")</f>
        <v>collect/miscellaneous/Dhaka FM\DFM - AUDIO CLIP (03-01-2023)/0637a939-28f9-4070-b39f-2d63c8ff8504.flac</v>
      </c>
      <c r="B47" s="2">
        <f>IFERROR(__xludf.DUMMYFUNCTION("""COMPUTED_VALUE"""),30.0)</f>
        <v>30</v>
      </c>
      <c r="C47" s="2" t="str">
        <f>IFERROR(__xludf.DUMMYFUNCTION("""COMPUTED_VALUE"""),"সেগুলো যখন কোটাটা মানে ফুরিয়ে যায় নেট্রোলা যখন কোরটে থাকে ফুরিয়ে যায় বা এ ধরনের যত আছে নাজকমিিক্স নেসিলা এইটেপের খাবারগুলো যখন ফুরিয়ে যায় আমরা ওটা ওয়াঁশ করতে চেই না কেউ কেউ হয়তে পারে সেতে দূত দিয়ে একটা ড্রিঙ্ক বানিয়ে ফেলেন ওয়ায়ন অউটিও ট্রাইভ হয়েতেড একটা ড"&amp;"িম এটার মধ্যে ছেড়ে দিন কাঁচা ডিম তারপরে স্পুন ফুল অফ অযাক টেবিল শিামোজ ময়দাদিন তারপরে যেটা করবেন দু্দিন হ্যাঁ দূধ দিয়ে এবং এটাকে শেখ করুন শেখ করার পর ওভেনে রেকে দিন")</f>
        <v>সেগুলো যখন কোটাটা মানে ফুরিয়ে যায় নেট্রোলা যখন কোরটে থাকে ফুরিয়ে যায় বা এ ধরনের যত আছে নাজকমিিক্স নেসিলা এইটেপের খাবারগুলো যখন ফুরিয়ে যায় আমরা ওটা ওয়াঁশ করতে চেই না কেউ কেউ হয়তে পারে সেতে দূত দিয়ে একটা ড্রিঙ্ক বানিয়ে ফেলেন ওয়ায়ন অউটিও ট্রাইভ হয়েতেড একটা ডিম এটার মধ্যে ছেড়ে দিন কাঁচা ডিম তারপরে স্পুন ফুল অফ অযাক টেবিল শিামোজ ময়দাদিন তারপরে যেটা করবেন দু্দিন হ্যাঁ দূধ দিয়ে এবং এটাকে শেখ করুন শেখ করার পর ওভেনে রেকে দিন</v>
      </c>
      <c r="D47" s="2" t="str">
        <f>IFERROR(__xludf.DUMMYFUNCTION("""COMPUTED_VALUE"""),"No")</f>
        <v>No</v>
      </c>
      <c r="E47" s="2" t="str">
        <f>IFERROR(__xludf.DUMMYFUNCTION("""COMPUTED_VALUE"""),"No")</f>
        <v>No</v>
      </c>
      <c r="F47" s="2" t="str">
        <f>IFERROR(__xludf.DUMMYFUNCTION("""COMPUTED_VALUE"""),"Yes")</f>
        <v>Yes</v>
      </c>
      <c r="G47" s="2">
        <f>IFERROR(__xludf.DUMMYFUNCTION("""COMPUTED_VALUE"""),0.5)</f>
        <v>0.5</v>
      </c>
      <c r="H47" s="2">
        <f>IFERROR(__xludf.DUMMYFUNCTION("""COMPUTED_VALUE"""),0.5)</f>
        <v>0.5</v>
      </c>
      <c r="I47" s="2">
        <f>IFERROR(__xludf.DUMMYFUNCTION("""COMPUTED_VALUE"""),0.5)</f>
        <v>0.5</v>
      </c>
      <c r="J47" s="2">
        <f>IFERROR(__xludf.DUMMYFUNCTION("""COMPUTED_VALUE"""),0.5)</f>
        <v>0.5</v>
      </c>
      <c r="K47" s="2" t="str">
        <f>IFERROR(__xludf.DUMMYFUNCTION("""COMPUTED_VALUE"""),"3 – Mixed language or inconsistent quality")</f>
        <v>3 – Mixed language or inconsistent quality</v>
      </c>
      <c r="L47" s="2" t="str">
        <f>IFERROR(__xludf.DUMMYFUNCTION("""COMPUTED_VALUE"""),"No")</f>
        <v>No</v>
      </c>
    </row>
    <row r="48">
      <c r="A48" s="2" t="str">
        <f>IFERROR(__xludf.DUMMYFUNCTION("""COMPUTED_VALUE"""),"collect/miscellaneous/Dhaka FM\DFM - AUDIO CLIP (03-01-2023)/064ffdf5-d040-43e2-b525-007535974a31.flac")</f>
        <v>collect/miscellaneous/Dhaka FM\DFM - AUDIO CLIP (03-01-2023)/064ffdf5-d040-43e2-b525-007535974a31.flac</v>
      </c>
      <c r="B48" s="2">
        <f>IFERROR(__xludf.DUMMYFUNCTION("""COMPUTED_VALUE"""),14.251)</f>
        <v>14.251</v>
      </c>
      <c r="C48" s="2" t="str">
        <f>IFERROR(__xludf.DUMMYFUNCTION("""COMPUTED_VALUE"""),"কোনণ এটা সবাই জানেন এটার যাস্টা একটা কেছেন জেনারাল নলেজ একসাথে অনেকগুলো ভেজেনি আপনি আটটা ইট কৌটায় কিন্তু রেখে দিতে পারেন সেক্ষেত্রে রেগুলার লে আপনাকে বাঁচতে হলো না আর স্ন্যাকসের কাজটাও কিন্তু হচ্ছে সো ইউকেন ট্রায়েট")</f>
        <v>কোনণ এটা সবাই জানেন এটার যাস্টা একটা কেছেন জেনারাল নলেজ একসাথে অনেকগুলো ভেজেনি আপনি আটটা ইট কৌটায় কিন্তু রেখে দিতে পারেন সেক্ষেত্রে রেগুলার লে আপনাকে বাঁচতে হলো না আর স্ন্যাকসের কাজটাও কিন্তু হচ্ছে সো ইউকেন ট্রায়েট</v>
      </c>
      <c r="D48" s="2" t="str">
        <f>IFERROR(__xludf.DUMMYFUNCTION("""COMPUTED_VALUE"""),"No")</f>
        <v>No</v>
      </c>
      <c r="E48" s="2" t="str">
        <f>IFERROR(__xludf.DUMMYFUNCTION("""COMPUTED_VALUE"""),"No")</f>
        <v>No</v>
      </c>
      <c r="F48" s="2" t="str">
        <f>IFERROR(__xludf.DUMMYFUNCTION("""COMPUTED_VALUE"""),"Yes")</f>
        <v>Yes</v>
      </c>
      <c r="G48" s="2">
        <f>IFERROR(__xludf.DUMMYFUNCTION("""COMPUTED_VALUE"""),0.5)</f>
        <v>0.5</v>
      </c>
      <c r="H48" s="2">
        <f>IFERROR(__xludf.DUMMYFUNCTION("""COMPUTED_VALUE"""),0.5)</f>
        <v>0.5</v>
      </c>
      <c r="I48" s="2">
        <f>IFERROR(__xludf.DUMMYFUNCTION("""COMPUTED_VALUE"""),1.0)</f>
        <v>1</v>
      </c>
      <c r="J48" s="2">
        <f>IFERROR(__xludf.DUMMYFUNCTION("""COMPUTED_VALUE"""),0.5)</f>
        <v>0.5</v>
      </c>
      <c r="K48" s="2" t="str">
        <f>IFERROR(__xludf.DUMMYFUNCTION("""COMPUTED_VALUE"""),"3 – Mixed language or inconsistent quality")</f>
        <v>3 – Mixed language or inconsistent quality</v>
      </c>
      <c r="L48" s="2" t="str">
        <f>IFERROR(__xludf.DUMMYFUNCTION("""COMPUTED_VALUE"""),"Yes")</f>
        <v>Yes</v>
      </c>
    </row>
    <row r="49">
      <c r="A49" s="2" t="str">
        <f>IFERROR(__xludf.DUMMYFUNCTION("""COMPUTED_VALUE"""),"collect/miscellaneous/Dhaka FM\DFM - AUDIO CLIP (03-01-2023)/068d69b7-29e1-46e3-ad0f-fd42ce6d385f.flac")</f>
        <v>collect/miscellaneous/Dhaka FM\DFM - AUDIO CLIP (03-01-2023)/068d69b7-29e1-46e3-ad0f-fd42ce6d385f.flac</v>
      </c>
      <c r="B49" s="2">
        <f>IFERROR(__xludf.DUMMYFUNCTION("""COMPUTED_VALUE"""),30.0)</f>
        <v>30</v>
      </c>
      <c r="C49" s="2" t="str">
        <f>IFERROR(__xludf.DUMMYFUNCTION("""COMPUTED_VALUE"""),"কন্তু একটা মন খারাপ ছিলই আজকে ভালো লাগছে গে ঢাকায় ফ্যামপ্লিজকেও কোনো কথা রাখেনি ও এটা গান ছিল আমি পাহি ভেয়েছিলাম যে ঢাকা ফেবার কেউ কথা রাখছে না মানে গান শুনতে চাইলে গেউ শোনাচ্ছে না ব্যাপারটা এমন কি না তো একেবারেই এখন না একটা গানের রিকোর্চ ছিল মিনারের কেউ "&amp;"কথা রাখেনি শেষের এসএমএস এবং একেবারে শেষ দিকে এই দিকোসটা রাখা যেতেই পারে কেবরি আমরা এই খানটি সুন্দর শুনতে আপালতেই ঘণ্টাটি পার করছি মিনারের কেউ কথা রাখে নামটি লেগেনি")</f>
        <v>কন্তু একটা মন খারাপ ছিলই আজকে ভালো লাগছে গে ঢাকায় ফ্যামপ্লিজকেও কোনো কথা রাখেনি ও এটা গান ছিল আমি পাহি ভেয়েছিলাম যে ঢাকা ফেবার কেউ কথা রাখছে না মানে গান শুনতে চাইলে গেউ শোনাচ্ছে না ব্যাপারটা এমন কি না তো একেবারেই এখন না একটা গানের রিকোর্চ ছিল মিনারের কেউ কথা রাখেনি শেষের এসএমএস এবং একেবারে শেষ দিকে এই দিকোসটা রাখা যেতেই পারে কেবরি আমরা এই খানটি সুন্দর শুনতে আপালতেই ঘণ্টাটি পার করছি মিনারের কেউ কথা রাখে নামটি লেগেনি</v>
      </c>
      <c r="D49" s="2" t="str">
        <f>IFERROR(__xludf.DUMMYFUNCTION("""COMPUTED_VALUE"""),"No")</f>
        <v>No</v>
      </c>
      <c r="E49" s="2" t="str">
        <f>IFERROR(__xludf.DUMMYFUNCTION("""COMPUTED_VALUE"""),"No")</f>
        <v>No</v>
      </c>
      <c r="F49" s="2" t="str">
        <f>IFERROR(__xludf.DUMMYFUNCTION("""COMPUTED_VALUE"""),"Yes")</f>
        <v>Yes</v>
      </c>
      <c r="G49" s="2">
        <f>IFERROR(__xludf.DUMMYFUNCTION("""COMPUTED_VALUE"""),0.5)</f>
        <v>0.5</v>
      </c>
      <c r="H49" s="2">
        <f>IFERROR(__xludf.DUMMYFUNCTION("""COMPUTED_VALUE"""),0.5)</f>
        <v>0.5</v>
      </c>
      <c r="I49" s="2">
        <f>IFERROR(__xludf.DUMMYFUNCTION("""COMPUTED_VALUE"""),1.0)</f>
        <v>1</v>
      </c>
      <c r="J49" s="2">
        <f>IFERROR(__xludf.DUMMYFUNCTION("""COMPUTED_VALUE"""),0.0)</f>
        <v>0</v>
      </c>
      <c r="K49" s="2" t="str">
        <f>IFERROR(__xludf.DUMMYFUNCTION("""COMPUTED_VALUE"""),"3 – Mixed language or inconsistent quality")</f>
        <v>3 – Mixed language or inconsistent quality</v>
      </c>
      <c r="L49" s="2" t="str">
        <f>IFERROR(__xludf.DUMMYFUNCTION("""COMPUTED_VALUE"""),"Yes")</f>
        <v>Yes</v>
      </c>
    </row>
    <row r="50">
      <c r="A50" s="2" t="str">
        <f>IFERROR(__xludf.DUMMYFUNCTION("""COMPUTED_VALUE"""),"collect/miscellaneous/Dhaka FM\DFM - AUDIO CLIP (03-01-2023)/06c28798-04b6-412e-9b9c-efe746cec80d.flac")</f>
        <v>collect/miscellaneous/Dhaka FM\DFM - AUDIO CLIP (03-01-2023)/06c28798-04b6-412e-9b9c-efe746cec80d.flac</v>
      </c>
      <c r="B50" s="2">
        <f>IFERROR(__xludf.DUMMYFUNCTION("""COMPUTED_VALUE"""),30.0)</f>
        <v>30</v>
      </c>
      <c r="C50" s="2" t="str">
        <f>IFERROR(__xludf.DUMMYFUNCTION("""COMPUTED_VALUE"""),"নগদ ঈদ শপিং আপলিট পিংকে আছে আপনাদের সাথে আর আপনাদের জন্য আবারও নিয়ে এলাম ঈদ শপিং আপডেন নগদের সোজন আজকে যেহেতু আমরা জানছি যে শপিংকে কোথায় কোরথেক হচ্ছে এবং শপিংয়ে কি অবস্থা এখন শপিং মলে বা দোকান পাঠি কী অবস্থা আসলে কি ভিয়ে আছে কিনা যেহেতু লাস্টের দিকে মানুষ"&amp;"জনকে এখনও ভিড় করছে কিনা দোকান পার্টি সেই সম্ আপডেট আমরা জানব শান্তর কাছে সু চলে যাচ্ছি শান্তির কাছে ধন্যবাদ সবাইকে স্বাগত ে")</f>
        <v>নগদ ঈদ শপিং আপলিট পিংকে আছে আপনাদের সাথে আর আপনাদের জন্য আবারও নিয়ে এলাম ঈদ শপিং আপডেন নগদের সোজন আজকে যেহেতু আমরা জানছি যে শপিংকে কোথায় কোরথেক হচ্ছে এবং শপিংয়ে কি অবস্থা এখন শপিং মলে বা দোকান পাঠি কী অবস্থা আসলে কি ভিয়ে আছে কিনা যেহেতু লাস্টের দিকে মানুষজনকে এখনও ভিড় করছে কিনা দোকান পার্টি সেই সম্ আপডেট আমরা জানব শান্তর কাছে সু চলে যাচ্ছি শান্তির কাছে ধন্যবাদ সবাইকে স্বাগত ে</v>
      </c>
      <c r="D50" s="2" t="str">
        <f>IFERROR(__xludf.DUMMYFUNCTION("""COMPUTED_VALUE"""),"No")</f>
        <v>No</v>
      </c>
      <c r="E50" s="2" t="str">
        <f>IFERROR(__xludf.DUMMYFUNCTION("""COMPUTED_VALUE"""),"Yes")</f>
        <v>Yes</v>
      </c>
      <c r="F50" s="2" t="str">
        <f>IFERROR(__xludf.DUMMYFUNCTION("""COMPUTED_VALUE"""),"Yes")</f>
        <v>Yes</v>
      </c>
      <c r="G50" s="2">
        <f>IFERROR(__xludf.DUMMYFUNCTION("""COMPUTED_VALUE"""),0.5)</f>
        <v>0.5</v>
      </c>
      <c r="H50" s="2">
        <f>IFERROR(__xludf.DUMMYFUNCTION("""COMPUTED_VALUE"""),0.5)</f>
        <v>0.5</v>
      </c>
      <c r="I50" s="2">
        <f>IFERROR(__xludf.DUMMYFUNCTION("""COMPUTED_VALUE"""),1.0)</f>
        <v>1</v>
      </c>
      <c r="J50" s="2">
        <f>IFERROR(__xludf.DUMMYFUNCTION("""COMPUTED_VALUE"""),0.0)</f>
        <v>0</v>
      </c>
      <c r="K50" s="2" t="str">
        <f>IFERROR(__xludf.DUMMYFUNCTION("""COMPUTED_VALUE"""),"4– Usable, minor flaws Minor background noise.")</f>
        <v>4– Usable, minor flaws Minor background noise.</v>
      </c>
      <c r="L50" s="2" t="str">
        <f>IFERROR(__xludf.DUMMYFUNCTION("""COMPUTED_VALUE"""),"No")</f>
        <v>No</v>
      </c>
    </row>
    <row r="51">
      <c r="A51" s="2" t="str">
        <f>IFERROR(__xludf.DUMMYFUNCTION("""COMPUTED_VALUE"""),"collect/miscellaneous/Dhaka FM\DFM - AUDIO CLIP (03-01-2023)/06c9d4f0-b729-45d3-91e1-31d35aaea0cb.flac")</f>
        <v>collect/miscellaneous/Dhaka FM\DFM - AUDIO CLIP (03-01-2023)/06c9d4f0-b729-45d3-91e1-31d35aaea0cb.flac</v>
      </c>
      <c r="B51" s="2">
        <f>IFERROR(__xludf.DUMMYFUNCTION("""COMPUTED_VALUE"""),30.0)</f>
        <v>30</v>
      </c>
      <c r="C51" s="2" t="str">
        <f>IFERROR(__xludf.DUMMYFUNCTION("""COMPUTED_VALUE"""),"এমনন যে ক্লাসের নাইকচারতে হয় িন্দুডেল ঘণ্টার মতো হয় ইলেকটরেকটা ছোট পনেরো মিনিট লেকচার আমরা চেষ্টা করেছি পনেরো মিনিটে অনেক কনসেপ্টসকে সুন্দর করে গুছিয়ে আনতে আপনারা দেখবেন যে আপনাদের লেট্রেযার কুব ভারো লাগবে কারণ এখানে আমরা জেনারে ডাইভার্সিটি ম্যানেজ করেছি "&amp;"আমাদের অধিকাংশল একচর এখানে সিভএল এবং সেক্টর ডাইভার্সিটি ম্যানেজ করেছে কিছু লেক্চারার ফরম এনজিও কিছু ল্যাক্চারার ফম একটা ডিমিআ কিছু লেক্চরের ফ্রম কর্পরেক্ সেক্টর ইত্যাদি সাপনার মদা য পনাা ান")</f>
        <v>এমনন যে ক্লাসের নাইকচারতে হয় িন্দুডেল ঘণ্টার মতো হয় ইলেকটরেকটা ছোট পনেরো মিনিট লেকচার আমরা চেষ্টা করেছি পনেরো মিনিটে অনেক কনসেপ্টসকে সুন্দর করে গুছিয়ে আনতে আপনারা দেখবেন যে আপনাদের লেট্রেযার কুব ভারো লাগবে কারণ এখানে আমরা জেনারে ডাইভার্সিটি ম্যানেজ করেছি আমাদের অধিকাংশল একচর এখানে সিভএল এবং সেক্টর ডাইভার্সিটি ম্যানেজ করেছে কিছু লেক্চারার ফরম এনজিও কিছু ল্যাক্চারার ফম একটা ডিমিআ কিছু লেক্চরের ফ্রম কর্পরেক্ সেক্টর ইত্যাদি সাপনার মদা য পনাা ান</v>
      </c>
      <c r="D51" s="2" t="str">
        <f>IFERROR(__xludf.DUMMYFUNCTION("""COMPUTED_VALUE"""),"No")</f>
        <v>No</v>
      </c>
      <c r="E51" s="2" t="str">
        <f>IFERROR(__xludf.DUMMYFUNCTION("""COMPUTED_VALUE"""),"No")</f>
        <v>No</v>
      </c>
      <c r="F51" s="2" t="str">
        <f>IFERROR(__xludf.DUMMYFUNCTION("""COMPUTED_VALUE"""),"Yes")</f>
        <v>Yes</v>
      </c>
      <c r="G51" s="2">
        <f>IFERROR(__xludf.DUMMYFUNCTION("""COMPUTED_VALUE"""),0.5)</f>
        <v>0.5</v>
      </c>
      <c r="H51" s="2">
        <f>IFERROR(__xludf.DUMMYFUNCTION("""COMPUTED_VALUE"""),0.5)</f>
        <v>0.5</v>
      </c>
      <c r="I51" s="2">
        <f>IFERROR(__xludf.DUMMYFUNCTION("""COMPUTED_VALUE"""),1.0)</f>
        <v>1</v>
      </c>
      <c r="J51" s="2">
        <f>IFERROR(__xludf.DUMMYFUNCTION("""COMPUTED_VALUE"""),0.0)</f>
        <v>0</v>
      </c>
      <c r="K51" s="2" t="str">
        <f>IFERROR(__xludf.DUMMYFUNCTION("""COMPUTED_VALUE"""),"3 – Mixed language or inconsistent quality")</f>
        <v>3 – Mixed language or inconsistent quality</v>
      </c>
      <c r="L51" s="2" t="str">
        <f>IFERROR(__xludf.DUMMYFUNCTION("""COMPUTED_VALUE"""),"Yes")</f>
        <v>Yes</v>
      </c>
    </row>
    <row r="52">
      <c r="A52" s="2" t="str">
        <f>IFERROR(__xludf.DUMMYFUNCTION("""COMPUTED_VALUE"""),"collect/miscellaneous/Dhaka FM\DFM - AUDIO CLIP (03-01-2023)/06dd9d0b-7290-4095-b1f0-2a0c063f7302.flac")</f>
        <v>collect/miscellaneous/Dhaka FM\DFM - AUDIO CLIP (03-01-2023)/06dd9d0b-7290-4095-b1f0-2a0c063f7302.flac</v>
      </c>
      <c r="B52" s="2">
        <f>IFERROR(__xludf.DUMMYFUNCTION("""COMPUTED_VALUE"""),17.752)</f>
        <v>17.752</v>
      </c>
      <c r="C52" s="2" t="str">
        <f>IFERROR(__xludf.DUMMYFUNCTION("""COMPUTED_VALUE"""),"মধ্যে রেখে দিন কিছুক্ষণ দেখবেন যে রংগুলো উঠতে শুরু করেছে এবং আপনারা ো সলের স েটা ক্লিন হতে শুরু করেছে একদম সহজ বেশ কয়েকটা ওয়ের মধ্যে এটা একটা মেথর স ইউক্রেন ট্রাইটরুম প্রিভেন ফ্র্ম রাস্টইনেস ওকে নবেন জয়দা ট্রাইক")</f>
        <v>মধ্যে রেখে দিন কিছুক্ষণ দেখবেন যে রংগুলো উঠতে শুরু করেছে এবং আপনারা ো সলের স েটা ক্লিন হতে শুরু করেছে একদম সহজ বেশ কয়েকটা ওয়ের মধ্যে এটা একটা মেথর স ইউক্রেন ট্রাইটরুম প্রিভেন ফ্র্ম রাস্টইনেস ওকে নবেন জয়দা ট্রাইক</v>
      </c>
      <c r="D52" s="2" t="str">
        <f>IFERROR(__xludf.DUMMYFUNCTION("""COMPUTED_VALUE"""),"No")</f>
        <v>No</v>
      </c>
      <c r="E52" s="2" t="str">
        <f>IFERROR(__xludf.DUMMYFUNCTION("""COMPUTED_VALUE"""),"No")</f>
        <v>No</v>
      </c>
      <c r="F52" s="2" t="str">
        <f>IFERROR(__xludf.DUMMYFUNCTION("""COMPUTED_VALUE"""),"Yes")</f>
        <v>Yes</v>
      </c>
      <c r="G52" s="2">
        <f>IFERROR(__xludf.DUMMYFUNCTION("""COMPUTED_VALUE"""),0.5)</f>
        <v>0.5</v>
      </c>
      <c r="H52" s="2">
        <f>IFERROR(__xludf.DUMMYFUNCTION("""COMPUTED_VALUE"""),0.5)</f>
        <v>0.5</v>
      </c>
      <c r="I52" s="2">
        <f>IFERROR(__xludf.DUMMYFUNCTION("""COMPUTED_VALUE"""),0.5)</f>
        <v>0.5</v>
      </c>
      <c r="J52" s="2">
        <f>IFERROR(__xludf.DUMMYFUNCTION("""COMPUTED_VALUE"""),0.0)</f>
        <v>0</v>
      </c>
      <c r="K52" s="2" t="str">
        <f>IFERROR(__xludf.DUMMYFUNCTION("""COMPUTED_VALUE"""),"3 – Mixed language or inconsistent quality")</f>
        <v>3 – Mixed language or inconsistent quality</v>
      </c>
      <c r="L52" s="2" t="str">
        <f>IFERROR(__xludf.DUMMYFUNCTION("""COMPUTED_VALUE"""),"No")</f>
        <v>No</v>
      </c>
    </row>
    <row r="53">
      <c r="A53" s="2" t="str">
        <f>IFERROR(__xludf.DUMMYFUNCTION("""COMPUTED_VALUE"""),"collect/miscellaneous/Dhaka FM\DFM - AUDIO CLIP (03-01-2023)/07048a6d-3eb6-42e5-bdee-24a96f4951cf.flac")</f>
        <v>collect/miscellaneous/Dhaka FM\DFM - AUDIO CLIP (03-01-2023)/07048a6d-3eb6-42e5-bdee-24a96f4951cf.flac</v>
      </c>
      <c r="B53" s="2">
        <f>IFERROR(__xludf.DUMMYFUNCTION("""COMPUTED_VALUE"""),30.0)</f>
        <v>30</v>
      </c>
      <c r="C53" s="2" t="str">
        <f>IFERROR(__xludf.DUMMYFUNCTION("""COMPUTED_VALUE"""),"একেটার মধ্যে ক্র্যাশ করে নিয়ে যাস্ তেলে ছাড়ার আগে চিকেন পিস্টা ওই চিপসের মধ্যে ডিপ করিনে মানেক চিপসের মধ্যে আমরা যেরকম ব্রেটক্রম ইউজ ক্রে না মাকিয়ে নিন ওরকম চিপসটা মাকি নিয়ে ডুবোতেলে ছেড়েদিন ব্য আস চমৎকার খ্রেরসফি শিখেন ফ্রাইভল বেরয়েডিফাউ অ্যান্ড সার্ভিড "&amp;"ইনস্ট্যান্লি হকে ওটা আপনাকে চার থেকে পাঁচ ঘণ্টা মেইনেট করে রাখতে হচ্ছিলেন আতিংয়ের আউটস জেস্ট ওয়েদ বিলউইদ্য ব্লিংক ওকে উইদ ইন্স্ট্যান্ট")</f>
        <v>একেটার মধ্যে ক্র্যাশ করে নিয়ে যাস্ তেলে ছাড়ার আগে চিকেন পিস্টা ওই চিপসের মধ্যে ডিপ করিনে মানেক চিপসের মধ্যে আমরা যেরকম ব্রেটক্রম ইউজ ক্রে না মাকিয়ে নিন ওরকম চিপসটা মাকি নিয়ে ডুবোতেলে ছেড়েদিন ব্য আস চমৎকার খ্রেরসফি শিখেন ফ্রাইভল বেরয়েডিফাউ অ্যান্ড সার্ভিড ইনস্ট্যান্লি হকে ওটা আপনাকে চার থেকে পাঁচ ঘণ্টা মেইনেট করে রাখতে হচ্ছিলেন আতিংয়ের আউটস জেস্ট ওয়েদ বিলউইদ্য ব্লিংক ওকে উইদ ইন্স্ট্যান্ট</v>
      </c>
      <c r="D53" s="2" t="str">
        <f>IFERROR(__xludf.DUMMYFUNCTION("""COMPUTED_VALUE"""),"No")</f>
        <v>No</v>
      </c>
      <c r="E53" s="2" t="str">
        <f>IFERROR(__xludf.DUMMYFUNCTION("""COMPUTED_VALUE"""),"No")</f>
        <v>No</v>
      </c>
      <c r="F53" s="2" t="str">
        <f>IFERROR(__xludf.DUMMYFUNCTION("""COMPUTED_VALUE"""),"Yes")</f>
        <v>Yes</v>
      </c>
      <c r="G53" s="2">
        <f>IFERROR(__xludf.DUMMYFUNCTION("""COMPUTED_VALUE"""),0.5)</f>
        <v>0.5</v>
      </c>
      <c r="H53" s="2">
        <f>IFERROR(__xludf.DUMMYFUNCTION("""COMPUTED_VALUE"""),0.5)</f>
        <v>0.5</v>
      </c>
      <c r="I53" s="2">
        <f>IFERROR(__xludf.DUMMYFUNCTION("""COMPUTED_VALUE"""),1.0)</f>
        <v>1</v>
      </c>
      <c r="J53" s="2">
        <f>IFERROR(__xludf.DUMMYFUNCTION("""COMPUTED_VALUE"""),0.0)</f>
        <v>0</v>
      </c>
      <c r="K53" s="2" t="str">
        <f>IFERROR(__xludf.DUMMYFUNCTION("""COMPUTED_VALUE"""),"3 – Mixed language or inconsistent quality")</f>
        <v>3 – Mixed language or inconsistent quality</v>
      </c>
      <c r="L53" s="2" t="str">
        <f>IFERROR(__xludf.DUMMYFUNCTION("""COMPUTED_VALUE"""),"No")</f>
        <v>No</v>
      </c>
    </row>
    <row r="54">
      <c r="A54" s="2" t="str">
        <f>IFERROR(__xludf.DUMMYFUNCTION("""COMPUTED_VALUE"""),"collect/miscellaneous/Dhaka FM\DFM - AUDIO CLIP (03-01-2023)/070da6ae-4fd1-49a3-acc7-0c3daa6314a7.flac")</f>
        <v>collect/miscellaneous/Dhaka FM\DFM - AUDIO CLIP (03-01-2023)/070da6ae-4fd1-49a3-acc7-0c3daa6314a7.flac</v>
      </c>
      <c r="B54" s="2">
        <f>IFERROR(__xludf.DUMMYFUNCTION("""COMPUTED_VALUE"""),30.0)</f>
        <v>30</v>
      </c>
      <c r="C54" s="2" t="str">
        <f>IFERROR(__xludf.DUMMYFUNCTION("""COMPUTED_VALUE"""),"িচ্ছে পরের দিন একটু রেলাক্সে কোরবানি দিব এবং হৈচৈ হই হই রইরই ব্যাপারটা একটু কম হবে ঝামেলাটাও একটু কম হবে ওয়েল দ্যাটসনট বাড ক অ্যাট হল আমি ছোটবেলা দেখে থেকে দেখে আসছি যে আমাদের বাড়ি আমাদের পাশের বাড়ি তা আমাদের সামনের বাড়িটা আমরা সবাই করবেন দিচ্ছি কিন্তু তা"&amp;"র কর্নারে জে বাড়িটা উনারা দিচ্ছে না বিকজ তারা ঈদের পরের দিন কোরবানি দিবেন এবং এদের পরের দিন বেশ সময় নিয়ে ওনারা কাজটা্জ করবেন যেরকম অনেক বাড়িতেই হয় আবার অনেকে এদের তৃতীয় দিন চতুর্থ দিন কোরবানি")</f>
        <v>িচ্ছে পরের দিন একটু রেলাক্সে কোরবানি দিব এবং হৈচৈ হই হই রইরই ব্যাপারটা একটু কম হবে ঝামেলাটাও একটু কম হবে ওয়েল দ্যাটসনট বাড ক অ্যাট হল আমি ছোটবেলা দেখে থেকে দেখে আসছি যে আমাদের বাড়ি আমাদের পাশের বাড়ি তা আমাদের সামনের বাড়িটা আমরা সবাই করবেন দিচ্ছি কিন্তু তার কর্নারে জে বাড়িটা উনারা দিচ্ছে না বিকজ তারা ঈদের পরের দিন কোরবানি দিবেন এবং এদের পরের দিন বেশ সময় নিয়ে ওনারা কাজটা্জ করবেন যেরকম অনেক বাড়িতেই হয় আবার অনেকে এদের তৃতীয় দিন চতুর্থ দিন কোরবানি</v>
      </c>
      <c r="D54" s="2" t="str">
        <f>IFERROR(__xludf.DUMMYFUNCTION("""COMPUTED_VALUE"""),"No")</f>
        <v>No</v>
      </c>
      <c r="E54" s="2"/>
      <c r="F54" s="2" t="str">
        <f>IFERROR(__xludf.DUMMYFUNCTION("""COMPUTED_VALUE"""),"Yes")</f>
        <v>Yes</v>
      </c>
      <c r="G54" s="2">
        <f>IFERROR(__xludf.DUMMYFUNCTION("""COMPUTED_VALUE"""),1.0)</f>
        <v>1</v>
      </c>
      <c r="H54" s="2">
        <f>IFERROR(__xludf.DUMMYFUNCTION("""COMPUTED_VALUE"""),1.0)</f>
        <v>1</v>
      </c>
      <c r="I54" s="2">
        <f>IFERROR(__xludf.DUMMYFUNCTION("""COMPUTED_VALUE"""),1.0)</f>
        <v>1</v>
      </c>
      <c r="J54" s="2">
        <f>IFERROR(__xludf.DUMMYFUNCTION("""COMPUTED_VALUE"""),0.5)</f>
        <v>0.5</v>
      </c>
      <c r="K54" s="2" t="str">
        <f>IFERROR(__xludf.DUMMYFUNCTION("""COMPUTED_VALUE"""),"4– Usable, minor flaws Minor background noise.")</f>
        <v>4– Usable, minor flaws Minor background noise.</v>
      </c>
      <c r="L54" s="2" t="str">
        <f>IFERROR(__xludf.DUMMYFUNCTION("""COMPUTED_VALUE"""),"No")</f>
        <v>No</v>
      </c>
    </row>
    <row r="55">
      <c r="A55" s="2" t="str">
        <f>IFERROR(__xludf.DUMMYFUNCTION("""COMPUTED_VALUE"""),"collect/miscellaneous/Dhaka FM\DFM - AUDIO CLIP (03-01-2023)/070e92dc-890c-471c-b1df-ccf4ef4ad88f.flac")</f>
        <v>collect/miscellaneous/Dhaka FM\DFM - AUDIO CLIP (03-01-2023)/070e92dc-890c-471c-b1df-ccf4ef4ad88f.flac</v>
      </c>
      <c r="B55" s="2">
        <f>IFERROR(__xludf.DUMMYFUNCTION("""COMPUTED_VALUE"""),30.0)</f>
        <v>30</v>
      </c>
      <c r="C55" s="2" t="str">
        <f>IFERROR(__xludf.DUMMYFUNCTION("""COMPUTED_VALUE"""),"লাইফ হ্যাকস ্াক্স এই ভ রয়েন্স ওয়াল কামডুড ঢাকার ফার্ম নাইনি ফাওয়ন্ড ফর অ্যাকনিেশন এ্াক্সটেশনের ইতে আছি আপনার সাথে লাইফেক্স নিয়ে এবং এসএমএস দিখতে পাচ্ছি হারুন লিখেছেন জাপু তোমার সেকেন্ড হ্যাকটা টয়লেট ব্রাস ক্লিনের যে হ্যাকটার সেটা আমি প্রায়ই করে থাকি এবং থ"&amp;"্যাংকিও এটা শেয়ার করার জন্য ও ওয়েলকাম হারুন তারপরে দেখতে পাচ্ছি রফিক এ্সেমএস করেছেন গানে রিকোজ করেছেন যারা ইসএমএস করেছেন বলেছেন যে ভিনেগার দিয়ে যে টয়ালেট ব্রার্স ক্লিন করার কথাটা বললে সেটা আমার ভালো লেগেছে")</f>
        <v>লাইফ হ্যাকস ্াক্স এই ভ রয়েন্স ওয়াল কামডুড ঢাকার ফার্ম নাইনি ফাওয়ন্ড ফর অ্যাকনিেশন এ্াক্সটেশনের ইতে আছি আপনার সাথে লাইফেক্স নিয়ে এবং এসএমএস দিখতে পাচ্ছি হারুন লিখেছেন জাপু তোমার সেকেন্ড হ্যাকটা টয়লেট ব্রাস ক্লিনের যে হ্যাকটার সেটা আমি প্রায়ই করে থাকি এবং থ্যাংকিও এটা শেয়ার করার জন্য ও ওয়েলকাম হারুন তারপরে দেখতে পাচ্ছি রফিক এ্সেমএস করেছেন গানে রিকোজ করেছেন যারা ইসএমএস করেছেন বলেছেন যে ভিনেগার দিয়ে যে টয়ালেট ব্রার্স ক্লিন করার কথাটা বললে সেটা আমার ভালো লেগেছে</v>
      </c>
      <c r="D55" s="2" t="str">
        <f>IFERROR(__xludf.DUMMYFUNCTION("""COMPUTED_VALUE"""),"No")</f>
        <v>No</v>
      </c>
      <c r="E55" s="2" t="str">
        <f>IFERROR(__xludf.DUMMYFUNCTION("""COMPUTED_VALUE"""),"No")</f>
        <v>No</v>
      </c>
      <c r="F55" s="2" t="str">
        <f>IFERROR(__xludf.DUMMYFUNCTION("""COMPUTED_VALUE"""),"Yes")</f>
        <v>Yes</v>
      </c>
      <c r="G55" s="2">
        <f>IFERROR(__xludf.DUMMYFUNCTION("""COMPUTED_VALUE"""),0.5)</f>
        <v>0.5</v>
      </c>
      <c r="H55" s="2">
        <f>IFERROR(__xludf.DUMMYFUNCTION("""COMPUTED_VALUE"""),0.5)</f>
        <v>0.5</v>
      </c>
      <c r="I55" s="2">
        <f>IFERROR(__xludf.DUMMYFUNCTION("""COMPUTED_VALUE"""),1.0)</f>
        <v>1</v>
      </c>
      <c r="J55" s="2">
        <f>IFERROR(__xludf.DUMMYFUNCTION("""COMPUTED_VALUE"""),0.0)</f>
        <v>0</v>
      </c>
      <c r="K55" s="2" t="str">
        <f>IFERROR(__xludf.DUMMYFUNCTION("""COMPUTED_VALUE"""),"3 – Mixed language or inconsistent quality")</f>
        <v>3 – Mixed language or inconsistent quality</v>
      </c>
      <c r="L55" s="2" t="str">
        <f>IFERROR(__xludf.DUMMYFUNCTION("""COMPUTED_VALUE"""),"Yes")</f>
        <v>Yes</v>
      </c>
    </row>
    <row r="56">
      <c r="A56" s="2" t="str">
        <f>IFERROR(__xludf.DUMMYFUNCTION("""COMPUTED_VALUE"""),"collect/miscellaneous/Dhaka FM\DFM - AUDIO CLIP (03-01-2023)/0744a05e-09b2-4325-b6ea-31a4e44a6773.flac")</f>
        <v>collect/miscellaneous/Dhaka FM\DFM - AUDIO CLIP (03-01-2023)/0744a05e-09b2-4325-b6ea-31a4e44a6773.flac</v>
      </c>
      <c r="B56" s="2">
        <f>IFERROR(__xludf.DUMMYFUNCTION("""COMPUTED_VALUE"""),30.0)</f>
        <v>30</v>
      </c>
      <c r="C56" s="2" t="str">
        <f>IFERROR(__xludf.DUMMYFUNCTION("""COMPUTED_VALUE"""),"তো সানজির সাথে একটু কথা বলব হ্ালো সানজি থ্যাংকিউ সোমাস নগদ ইদ শপিং আপডেট নিয়ে সানজি আবার ও হাজির হয়ে গিয়েছি এবং আমি আছি মিরপুরে এবং আমা ্ে ত একজন ো চাচ্ছেন ভাইয় আপনি কেমন আছেন যে ভালো আছি আপনি কেমন আছেন জি আমি আল হাম দু েলার ভালাচ্ছি ভাই আপনার নাম টা হর্ন"&amp;"ম রয় হন শরীর সব্বি ভাইয়া ঈদের সপিং কী হয়ে গিয়েছে মনে কিছু কিশুনি হয়েছে সেফন্ডিপারসেন আরকি বলতে পারি যে দাম আর কিছু পাকি আছে লাস্টাইমে যেটা হয়")</f>
        <v>তো সানজির সাথে একটু কথা বলব হ্ালো সানজি থ্যাংকিউ সোমাস নগদ ইদ শপিং আপডেট নিয়ে সানজি আবার ও হাজির হয়ে গিয়েছি এবং আমি আছি মিরপুরে এবং আমা ্ে ত একজন ো চাচ্ছেন ভাইয় আপনি কেমন আছেন যে ভালো আছি আপনি কেমন আছেন জি আমি আল হাম দু েলার ভালাচ্ছি ভাই আপনার নাম টা হর্নম রয় হন শরীর সব্বি ভাইয়া ঈদের সপিং কী হয়ে গিয়েছে মনে কিছু কিশুনি হয়েছে সেফন্ডিপারসেন আরকি বলতে পারি যে দাম আর কিছু পাকি আছে লাস্টাইমে যেটা হয়</v>
      </c>
      <c r="D56" s="2" t="str">
        <f>IFERROR(__xludf.DUMMYFUNCTION("""COMPUTED_VALUE"""),"No")</f>
        <v>No</v>
      </c>
      <c r="E56" s="2" t="str">
        <f>IFERROR(__xludf.DUMMYFUNCTION("""COMPUTED_VALUE"""),"No")</f>
        <v>No</v>
      </c>
      <c r="F56" s="2" t="str">
        <f>IFERROR(__xludf.DUMMYFUNCTION("""COMPUTED_VALUE"""),"Yes")</f>
        <v>Yes</v>
      </c>
      <c r="G56" s="2">
        <f>IFERROR(__xludf.DUMMYFUNCTION("""COMPUTED_VALUE"""),0.5)</f>
        <v>0.5</v>
      </c>
      <c r="H56" s="2">
        <f>IFERROR(__xludf.DUMMYFUNCTION("""COMPUTED_VALUE"""),0.5)</f>
        <v>0.5</v>
      </c>
      <c r="I56" s="2">
        <f>IFERROR(__xludf.DUMMYFUNCTION("""COMPUTED_VALUE"""),0.5)</f>
        <v>0.5</v>
      </c>
      <c r="J56" s="2">
        <f>IFERROR(__xludf.DUMMYFUNCTION("""COMPUTED_VALUE"""),0.0)</f>
        <v>0</v>
      </c>
      <c r="K56" s="2" t="str">
        <f>IFERROR(__xludf.DUMMYFUNCTION("""COMPUTED_VALUE"""),"4– Usable, minor flaws Minor background noise.")</f>
        <v>4– Usable, minor flaws Minor background noise.</v>
      </c>
      <c r="L56" s="2" t="str">
        <f>IFERROR(__xludf.DUMMYFUNCTION("""COMPUTED_VALUE"""),"No")</f>
        <v>No</v>
      </c>
    </row>
    <row r="57">
      <c r="A57" s="2" t="str">
        <f>IFERROR(__xludf.DUMMYFUNCTION("""COMPUTED_VALUE"""),"collect/miscellaneous/Dhaka FM\DFM - AUDIO CLIP (03-01-2023)/07750620-b806-4c24-8491-190160b9c538.flac")</f>
        <v>collect/miscellaneous/Dhaka FM\DFM - AUDIO CLIP (03-01-2023)/07750620-b806-4c24-8491-190160b9c538.flac</v>
      </c>
      <c r="B57" s="2">
        <f>IFERROR(__xludf.DUMMYFUNCTION("""COMPUTED_VALUE"""),22.062)</f>
        <v>22.062</v>
      </c>
      <c r="C57" s="2" t="str">
        <f>IFERROR(__xludf.DUMMYFUNCTION("""COMPUTED_VALUE"""),"লিল এসএমএস করেছেন মায়মেন্সিং থেকে কেমন আছি জানতে চেয়েছেন আমি ভালো আছি আপনি কেমন আছেন তারপরে দেখতে পাচ্ছি নুরি নুরি এসএমএস স করেছেন কর্তেকে রংপুর থেকে এসএমএস করেছেন তিনিও একটা গানের রিকলোজ করেছেন আল ট্রাইম এড ব্যাস্ট ওকে নিউয়ার লিসেনিং ঢাকা ফার্ম নাইডি ফোন"&amp;"্ ফোর অ্াক নেশন এক স্টেশন নাও এ্যানজয়াদা ট্রাক অ্যাল কামিন ভ্যাকসন")</f>
        <v>লিল এসএমএস করেছেন মায়মেন্সিং থেকে কেমন আছি জানতে চেয়েছেন আমি ভালো আছি আপনি কেমন আছেন তারপরে দেখতে পাচ্ছি নুরি নুরি এসএমএস স করেছেন কর্তেকে রংপুর থেকে এসএমএস করেছেন তিনিও একটা গানের রিকলোজ করেছেন আল ট্রাইম এড ব্যাস্ট ওকে নিউয়ার লিসেনিং ঢাকা ফার্ম নাইডি ফোন্ ফোর অ্াক নেশন এক স্টেশন নাও এ্যানজয়াদা ট্রাক অ্যাল কামিন ভ্যাকসন</v>
      </c>
      <c r="D57" s="2" t="str">
        <f>IFERROR(__xludf.DUMMYFUNCTION("""COMPUTED_VALUE"""),"No")</f>
        <v>No</v>
      </c>
      <c r="E57" s="2" t="str">
        <f>IFERROR(__xludf.DUMMYFUNCTION("""COMPUTED_VALUE"""),"No")</f>
        <v>No</v>
      </c>
      <c r="F57" s="2" t="str">
        <f>IFERROR(__xludf.DUMMYFUNCTION("""COMPUTED_VALUE"""),"Yes")</f>
        <v>Yes</v>
      </c>
      <c r="G57" s="2">
        <f>IFERROR(__xludf.DUMMYFUNCTION("""COMPUTED_VALUE"""),0.5)</f>
        <v>0.5</v>
      </c>
      <c r="H57" s="2">
        <f>IFERROR(__xludf.DUMMYFUNCTION("""COMPUTED_VALUE"""),0.5)</f>
        <v>0.5</v>
      </c>
      <c r="I57" s="2">
        <f>IFERROR(__xludf.DUMMYFUNCTION("""COMPUTED_VALUE"""),0.5)</f>
        <v>0.5</v>
      </c>
      <c r="J57" s="2">
        <f>IFERROR(__xludf.DUMMYFUNCTION("""COMPUTED_VALUE"""),0.0)</f>
        <v>0</v>
      </c>
      <c r="K57" s="2" t="str">
        <f>IFERROR(__xludf.DUMMYFUNCTION("""COMPUTED_VALUE"""),"3 – Mixed language or inconsistent quality")</f>
        <v>3 – Mixed language or inconsistent quality</v>
      </c>
      <c r="L57" s="2" t="str">
        <f>IFERROR(__xludf.DUMMYFUNCTION("""COMPUTED_VALUE"""),"No")</f>
        <v>No</v>
      </c>
    </row>
    <row r="58">
      <c r="A58" s="2" t="str">
        <f>IFERROR(__xludf.DUMMYFUNCTION("""COMPUTED_VALUE"""),"collect/miscellaneous/Dhaka FM\DFM - AUDIO CLIP (03-01-2023)/07b37cf8-38ec-467c-a0be-78f514eec86f.flac")</f>
        <v>collect/miscellaneous/Dhaka FM\DFM - AUDIO CLIP (03-01-2023)/07b37cf8-38ec-467c-a0be-78f514eec86f.flac</v>
      </c>
      <c r="B58" s="2">
        <f>IFERROR(__xludf.DUMMYFUNCTION("""COMPUTED_VALUE"""),27.603)</f>
        <v>27.603</v>
      </c>
      <c r="C58" s="2" t="str">
        <f>IFERROR(__xludf.DUMMYFUNCTION("""COMPUTED_VALUE"""),"এবং সাথে আছে কৃষা রাজশাহী সকল বন্ধু কৃষাসহ সকল বন্ধুকে বলব যে রাজশাহীতে এযে প্রকোপ করোনার প্রকোপ সেটা কিন্তু বেড়েছে তাই খুব বেশি পরিমাণের স্বাস্থ্যবিধি মেনে চলার দায়িত্ব কিন্তু একটু বেশি বেশি পড়বে এই বাংলাদেশে যেসব এরিয়োতে যারা রয়েছেন ঢাকায়াফেল্ম যেখানে য"&amp;"েখানে শুনতে পাওয়া যাচ্ছে সবাই জানি কম বেশি কোনকোনিরিয়াতে প্রকোপটা বেশি ঘরে থাকে নিরাপদে থাকি পরিবারটি ভালো রাখে সঙ্গে তাখন ফিরে রছে নতুন ঘণ্টায় আর এই মুহূর্তে নোয়াখাইলাপোলা")</f>
        <v>এবং সাথে আছে কৃষা রাজশাহী সকল বন্ধু কৃষাসহ সকল বন্ধুকে বলব যে রাজশাহীতে এযে প্রকোপ করোনার প্রকোপ সেটা কিন্তু বেড়েছে তাই খুব বেশি পরিমাণের স্বাস্থ্যবিধি মেনে চলার দায়িত্ব কিন্তু একটু বেশি বেশি পড়বে এই বাংলাদেশে যেসব এরিয়োতে যারা রয়েছেন ঢাকায়াফেল্ম যেখানে যেখানে শুনতে পাওয়া যাচ্ছে সবাই জানি কম বেশি কোনকোনিরিয়াতে প্রকোপটা বেশি ঘরে থাকে নিরাপদে থাকি পরিবারটি ভালো রাখে সঙ্গে তাখন ফিরে রছে নতুন ঘণ্টায় আর এই মুহূর্তে নোয়াখাইলাপোলা</v>
      </c>
      <c r="D58" s="2" t="str">
        <f>IFERROR(__xludf.DUMMYFUNCTION("""COMPUTED_VALUE"""),"No")</f>
        <v>No</v>
      </c>
      <c r="E58" s="2" t="str">
        <f>IFERROR(__xludf.DUMMYFUNCTION("""COMPUTED_VALUE"""),"No")</f>
        <v>No</v>
      </c>
      <c r="F58" s="2" t="str">
        <f>IFERROR(__xludf.DUMMYFUNCTION("""COMPUTED_VALUE"""),"Yes")</f>
        <v>Yes</v>
      </c>
      <c r="G58" s="2">
        <f>IFERROR(__xludf.DUMMYFUNCTION("""COMPUTED_VALUE"""),1.0)</f>
        <v>1</v>
      </c>
      <c r="H58" s="2">
        <f>IFERROR(__xludf.DUMMYFUNCTION("""COMPUTED_VALUE"""),1.0)</f>
        <v>1</v>
      </c>
      <c r="I58" s="2">
        <f>IFERROR(__xludf.DUMMYFUNCTION("""COMPUTED_VALUE"""),0.5)</f>
        <v>0.5</v>
      </c>
      <c r="J58" s="2">
        <f>IFERROR(__xludf.DUMMYFUNCTION("""COMPUTED_VALUE"""),0.5)</f>
        <v>0.5</v>
      </c>
      <c r="K58" s="2" t="str">
        <f>IFERROR(__xludf.DUMMYFUNCTION("""COMPUTED_VALUE"""),"5 – High-quality, Clean Bangla speech")</f>
        <v>5 – High-quality, Clean Bangla speech</v>
      </c>
      <c r="L58" s="2" t="str">
        <f>IFERROR(__xludf.DUMMYFUNCTION("""COMPUTED_VALUE"""),"No")</f>
        <v>No</v>
      </c>
    </row>
    <row r="59">
      <c r="A59" s="2" t="str">
        <f>IFERROR(__xludf.DUMMYFUNCTION("""COMPUTED_VALUE"""),"collect/miscellaneous/Dhaka FM\DFM - AUDIO CLIP (03-01-2023)/07b49d9b-0ee0-4f72-81a3-f158f866d602.flac")</f>
        <v>collect/miscellaneous/Dhaka FM\DFM - AUDIO CLIP (03-01-2023)/07b49d9b-0ee0-4f72-81a3-f158f866d602.flac</v>
      </c>
      <c r="B59" s="2">
        <f>IFERROR(__xludf.DUMMYFUNCTION("""COMPUTED_VALUE"""),10.326)</f>
        <v>10.326</v>
      </c>
      <c r="C59" s="2" t="str">
        <f>IFERROR(__xludf.DUMMYFUNCTION("""COMPUTED_VALUE"""),"সিং সবাই এটা করে থাকেন আমি জেস্ট মনে করিয়ে দিলাম কী জেনে কিছেন জেনারেল নলেজিস্ খাইন্ড অব দায়ের যে আপনিকে একটু জাস্ট মনে করিয়ে দেন নযাতিংয়ালস সো এনজয়দের ট্রাকট")</f>
        <v>সিং সবাই এটা করে থাকেন আমি জেস্ট মনে করিয়ে দিলাম কী জেনে কিছেন জেনারেল নলেজিস্ খাইন্ড অব দায়ের যে আপনিকে একটু জাস্ট মনে করিয়ে দেন নযাতিংয়ালস সো এনজয়দের ট্রাকট</v>
      </c>
      <c r="D59" s="2" t="str">
        <f>IFERROR(__xludf.DUMMYFUNCTION("""COMPUTED_VALUE"""),"No")</f>
        <v>No</v>
      </c>
      <c r="E59" s="2" t="str">
        <f>IFERROR(__xludf.DUMMYFUNCTION("""COMPUTED_VALUE"""),"No")</f>
        <v>No</v>
      </c>
      <c r="F59" s="2" t="str">
        <f>IFERROR(__xludf.DUMMYFUNCTION("""COMPUTED_VALUE"""),"No")</f>
        <v>No</v>
      </c>
      <c r="G59" s="2">
        <f>IFERROR(__xludf.DUMMYFUNCTION("""COMPUTED_VALUE"""),0.5)</f>
        <v>0.5</v>
      </c>
      <c r="H59" s="2">
        <f>IFERROR(__xludf.DUMMYFUNCTION("""COMPUTED_VALUE"""),0.5)</f>
        <v>0.5</v>
      </c>
      <c r="I59" s="2">
        <f>IFERROR(__xludf.DUMMYFUNCTION("""COMPUTED_VALUE"""),0.5)</f>
        <v>0.5</v>
      </c>
      <c r="J59" s="2">
        <f>IFERROR(__xludf.DUMMYFUNCTION("""COMPUTED_VALUE"""),0.5)</f>
        <v>0.5</v>
      </c>
      <c r="K59" s="2" t="str">
        <f>IFERROR(__xludf.DUMMYFUNCTION("""COMPUTED_VALUE"""),"3 – Mixed language or inconsistent quality")</f>
        <v>3 – Mixed language or inconsistent quality</v>
      </c>
      <c r="L59" s="2" t="str">
        <f>IFERROR(__xludf.DUMMYFUNCTION("""COMPUTED_VALUE"""),"Yes")</f>
        <v>Yes</v>
      </c>
    </row>
    <row r="60">
      <c r="A60" s="2" t="str">
        <f>IFERROR(__xludf.DUMMYFUNCTION("""COMPUTED_VALUE"""),"collect/miscellaneous/Dhaka FM\DFM - AUDIO CLIP (03-01-2023)/07dbbd56-235f-4620-86c5-b7985e0963c0.flac")</f>
        <v>collect/miscellaneous/Dhaka FM\DFM - AUDIO CLIP (03-01-2023)/07dbbd56-235f-4620-86c5-b7985e0963c0.flac</v>
      </c>
      <c r="B60" s="2">
        <f>IFERROR(__xludf.DUMMYFUNCTION("""COMPUTED_VALUE"""),30.0)</f>
        <v>30</v>
      </c>
      <c r="C60" s="2" t="str">
        <f>IFERROR(__xludf.DUMMYFUNCTION("""COMPUTED_VALUE"""),"একটা ছেলে মনে ররানরে রেডর হেলো ওয়াডিজআপ যেন ওয়ান হচ্ছে স্টিউডিও টাইম রাইড নে হা হেলো হেলে হেললে কেমন না ছে বলাও ততত্ত আজ আজকে য়ছে চেউঠা জুলাই দুই হাজার একুশ আজকের দিনের তারিখটা শান্ত আপনার সাথে াতে ছেয়ার চলছে বুম নাইটি পয়েন্ট ফোর বোমদানী পয়েন্ট ফোর চলতেই "&amp;"থাকবে আপনারা কি পিংকস")</f>
        <v>একটা ছেলে মনে ররানরে রেডর হেলো ওয়াডিজআপ যেন ওয়ান হচ্ছে স্টিউডিও টাইম রাইড নে হা হেলো হেলে হেললে কেমন না ছে বলাও ততত্ত আজ আজকে য়ছে চেউঠা জুলাই দুই হাজার একুশ আজকের দিনের তারিখটা শান্ত আপনার সাথে াতে ছেয়ার চলছে বুম নাইটি পয়েন্ট ফোর বোমদানী পয়েন্ট ফোর চলতেই থাকবে আপনারা কি পিংকস</v>
      </c>
      <c r="D60" s="2" t="str">
        <f>IFERROR(__xludf.DUMMYFUNCTION("""COMPUTED_VALUE"""),"No")</f>
        <v>No</v>
      </c>
      <c r="E60" s="2" t="str">
        <f>IFERROR(__xludf.DUMMYFUNCTION("""COMPUTED_VALUE"""),"No")</f>
        <v>No</v>
      </c>
      <c r="F60" s="2" t="str">
        <f>IFERROR(__xludf.DUMMYFUNCTION("""COMPUTED_VALUE"""),"Yes")</f>
        <v>Yes</v>
      </c>
      <c r="G60" s="2">
        <f>IFERROR(__xludf.DUMMYFUNCTION("""COMPUTED_VALUE"""),0.5)</f>
        <v>0.5</v>
      </c>
      <c r="H60" s="2">
        <f>IFERROR(__xludf.DUMMYFUNCTION("""COMPUTED_VALUE"""),0.5)</f>
        <v>0.5</v>
      </c>
      <c r="I60" s="2">
        <f>IFERROR(__xludf.DUMMYFUNCTION("""COMPUTED_VALUE"""),0.5)</f>
        <v>0.5</v>
      </c>
      <c r="J60" s="2">
        <f>IFERROR(__xludf.DUMMYFUNCTION("""COMPUTED_VALUE"""),0.0)</f>
        <v>0</v>
      </c>
      <c r="K60" s="2" t="str">
        <f>IFERROR(__xludf.DUMMYFUNCTION("""COMPUTED_VALUE"""),"3 – Mixed language or inconsistent quality")</f>
        <v>3 – Mixed language or inconsistent quality</v>
      </c>
      <c r="L60" s="2" t="str">
        <f>IFERROR(__xludf.DUMMYFUNCTION("""COMPUTED_VALUE"""),"No")</f>
        <v>No</v>
      </c>
    </row>
    <row r="61">
      <c r="A61" s="2" t="str">
        <f>IFERROR(__xludf.DUMMYFUNCTION("""COMPUTED_VALUE"""),"collect/miscellaneous/Dhaka FM\DFM - AUDIO CLIP (03-01-2023)/07e7441d-3aa2-4a58-83c9-6fa2a78f374a.flac")</f>
        <v>collect/miscellaneous/Dhaka FM\DFM - AUDIO CLIP (03-01-2023)/07e7441d-3aa2-4a58-83c9-6fa2a78f374a.flac</v>
      </c>
      <c r="B61" s="2">
        <f>IFERROR(__xludf.DUMMYFUNCTION("""COMPUTED_VALUE"""),30.0)</f>
        <v>30</v>
      </c>
      <c r="C61" s="2" t="str">
        <f>IFERROR(__xludf.DUMMYFUNCTION("""COMPUTED_VALUE"""),"লাইফ হ্যাকস হালাও মাইরিয়ার বেউড়ে ফেল্ ফিপ লুয়াল কামডি বেরোফ ল রইডি স্টেশন ঢাকা ফাম নাইনি ফয়েন্ট ফোর রিতাইজ হিয়ার সাপটাইমস ওয়ার হেভেন ইনিয়র হাউজ দেটিস্কিডজ কিস সান ডাইমস কিজ কিন্তু খেতে চায় না ওরা একটু মর্জিক করাদের পছন্দ না হলে দেয়া নট উইলিংটু হ্যাপদেট ফু"&amp;"ড ইউকেন ডু ওয়ানথিং পাওরুটি আছে না যখন আপনি পাওরোটি খাওয়াবেন বাচ্চাদের বা ভাবসে যে স্যান্ডওয়েজ করবেন সো এটাকে অ্যট্রাক্ক")</f>
        <v>লাইফ হ্যাকস হালাও মাইরিয়ার বেউড়ে ফেল্ ফিপ লুয়াল কামডি বেরোফ ল রইডি স্টেশন ঢাকা ফাম নাইনি ফয়েন্ট ফোর রিতাইজ হিয়ার সাপটাইমস ওয়ার হেভেন ইনিয়র হাউজ দেটিস্কিডজ কিস সান ডাইমস কিজ কিন্তু খেতে চায় না ওরা একটু মর্জিক করাদের পছন্দ না হলে দেয়া নট উইলিংটু হ্যাপদেট ফুড ইউকেন ডু ওয়ানথিং পাওরুটি আছে না যখন আপনি পাওরোটি খাওয়াবেন বাচ্চাদের বা ভাবসে যে স্যান্ডওয়েজ করবেন সো এটাকে অ্যট্রাক্ক</v>
      </c>
      <c r="D61" s="2" t="str">
        <f>IFERROR(__xludf.DUMMYFUNCTION("""COMPUTED_VALUE"""),"No")</f>
        <v>No</v>
      </c>
      <c r="E61" s="2" t="str">
        <f>IFERROR(__xludf.DUMMYFUNCTION("""COMPUTED_VALUE"""),"No")</f>
        <v>No</v>
      </c>
      <c r="F61" s="2" t="str">
        <f>IFERROR(__xludf.DUMMYFUNCTION("""COMPUTED_VALUE"""),"Yes")</f>
        <v>Yes</v>
      </c>
      <c r="G61" s="2">
        <f>IFERROR(__xludf.DUMMYFUNCTION("""COMPUTED_VALUE"""),0.5)</f>
        <v>0.5</v>
      </c>
      <c r="H61" s="2">
        <f>IFERROR(__xludf.DUMMYFUNCTION("""COMPUTED_VALUE"""),0.5)</f>
        <v>0.5</v>
      </c>
      <c r="I61" s="2">
        <f>IFERROR(__xludf.DUMMYFUNCTION("""COMPUTED_VALUE"""),0.5)</f>
        <v>0.5</v>
      </c>
      <c r="J61" s="2">
        <f>IFERROR(__xludf.DUMMYFUNCTION("""COMPUTED_VALUE"""),0.0)</f>
        <v>0</v>
      </c>
      <c r="K61" s="2" t="str">
        <f>IFERROR(__xludf.DUMMYFUNCTION("""COMPUTED_VALUE"""),"3 – Mixed language or inconsistent quality")</f>
        <v>3 – Mixed language or inconsistent quality</v>
      </c>
      <c r="L61" s="2" t="str">
        <f>IFERROR(__xludf.DUMMYFUNCTION("""COMPUTED_VALUE"""),"Yes")</f>
        <v>Yes</v>
      </c>
    </row>
    <row r="62">
      <c r="A62" s="2" t="str">
        <f>IFERROR(__xludf.DUMMYFUNCTION("""COMPUTED_VALUE"""),"collect/miscellaneous/Dhaka FM\DFM - AUDIO CLIP (03-01-2023)/07f0e903-21a8-439f-be7a-4c7f64604e86.flac")</f>
        <v>collect/miscellaneous/Dhaka FM\DFM - AUDIO CLIP (03-01-2023)/07f0e903-21a8-439f-be7a-4c7f64604e86.flac</v>
      </c>
      <c r="B62" s="2">
        <f>IFERROR(__xludf.DUMMYFUNCTION("""COMPUTED_VALUE"""),9.448)</f>
        <v>9.448</v>
      </c>
      <c r="C62" s="2" t="str">
        <f>IFERROR(__xludf.DUMMYFUNCTION("""COMPUTED_VALUE"""),"ন তারা কিন্তু চট করে আমার সাথে যুক্ত হয়ে যেতে পারেন যেরা ানেটফর ওয়ান লাইন্জের ওপর র নাইন্জেরোফোর হচ্ছে ওয়াজস্যাপের নাম পারলেস এন্ জয়াদ ট্রাক")</f>
        <v>ন তারা কিন্তু চট করে আমার সাথে যুক্ত হয়ে যেতে পারেন যেরা ানেটফর ওয়ান লাইন্জের ওপর র নাইন্জেরোফোর হচ্ছে ওয়াজস্যাপের নাম পারলেস এন্ জয়াদ ট্রাক</v>
      </c>
      <c r="D62" s="2" t="str">
        <f>IFERROR(__xludf.DUMMYFUNCTION("""COMPUTED_VALUE"""),"No")</f>
        <v>No</v>
      </c>
      <c r="E62" s="2" t="str">
        <f>IFERROR(__xludf.DUMMYFUNCTION("""COMPUTED_VALUE"""),"No")</f>
        <v>No</v>
      </c>
      <c r="F62" s="2" t="str">
        <f>IFERROR(__xludf.DUMMYFUNCTION("""COMPUTED_VALUE"""),"Yes")</f>
        <v>Yes</v>
      </c>
      <c r="G62" s="2">
        <f>IFERROR(__xludf.DUMMYFUNCTION("""COMPUTED_VALUE"""),0.5)</f>
        <v>0.5</v>
      </c>
      <c r="H62" s="2">
        <f>IFERROR(__xludf.DUMMYFUNCTION("""COMPUTED_VALUE"""),0.5)</f>
        <v>0.5</v>
      </c>
      <c r="I62" s="2">
        <f>IFERROR(__xludf.DUMMYFUNCTION("""COMPUTED_VALUE"""),0.5)</f>
        <v>0.5</v>
      </c>
      <c r="J62" s="2">
        <f>IFERROR(__xludf.DUMMYFUNCTION("""COMPUTED_VALUE"""),0.0)</f>
        <v>0</v>
      </c>
      <c r="K62" s="2" t="str">
        <f>IFERROR(__xludf.DUMMYFUNCTION("""COMPUTED_VALUE"""),"3 – Mixed language or inconsistent quality")</f>
        <v>3 – Mixed language or inconsistent quality</v>
      </c>
      <c r="L62" s="2" t="str">
        <f>IFERROR(__xludf.DUMMYFUNCTION("""COMPUTED_VALUE"""),"Yes")</f>
        <v>Yes</v>
      </c>
    </row>
    <row r="63">
      <c r="A63" s="2" t="str">
        <f>IFERROR(__xludf.DUMMYFUNCTION("""COMPUTED_VALUE"""),"D:\STT D3\STT D3\deliverables3\collect\miscellaneous\Dhaka FM\DFM - AUDIO CLIP (03-01-2023)\0dabb103-4433-41ec-8f7d-c832a93db6b9.flac")</f>
        <v>D:\STT D3\STT D3\deliverables3\collect\miscellaneous\Dhaka FM\DFM - AUDIO CLIP (03-01-2023)\0dabb103-4433-41ec-8f7d-c832a93db6b9.flac</v>
      </c>
      <c r="B63" s="2">
        <f>IFERROR(__xludf.DUMMYFUNCTION("""COMPUTED_VALUE"""),13.81)</f>
        <v>13.81</v>
      </c>
      <c r="C63" s="2" t="str">
        <f>IFERROR(__xludf.DUMMYFUNCTION("""COMPUTED_VALUE"""),"অনিউরেকোরিয়াম গ্লাস ইনিওর অ্যাকোরিয়াম গ্লাস ও ইউকেন ট্রায় কে এচল বআউট ইয়র সয়েজ ইয়র টেস্ট ব্যাট নাউটেস্ট ইজ দি সং ফরিও লেটসেঞ্জাইট অলটুগেয়ে দর")</f>
        <v>অনিউরেকোরিয়াম গ্লাস ইনিওর অ্যাকোরিয়াম গ্লাস ও ইউকেন ট্রায় কে এচল বআউট ইয়র সয়েজ ইয়র টেস্ট ব্যাট নাউটেস্ট ইজ দি সং ফরিও লেটসেঞ্জাইট অলটুগেয়ে দর</v>
      </c>
      <c r="D63" s="2" t="str">
        <f>IFERROR(__xludf.DUMMYFUNCTION("""COMPUTED_VALUE"""),"No")</f>
        <v>No</v>
      </c>
      <c r="E63" s="2" t="str">
        <f>IFERROR(__xludf.DUMMYFUNCTION("""COMPUTED_VALUE"""),"No")</f>
        <v>No</v>
      </c>
      <c r="F63" s="2" t="str">
        <f>IFERROR(__xludf.DUMMYFUNCTION("""COMPUTED_VALUE"""),"Yes")</f>
        <v>Yes</v>
      </c>
      <c r="G63" s="2">
        <f>IFERROR(__xludf.DUMMYFUNCTION("""COMPUTED_VALUE"""),0.5)</f>
        <v>0.5</v>
      </c>
      <c r="H63" s="2">
        <f>IFERROR(__xludf.DUMMYFUNCTION("""COMPUTED_VALUE"""),0.5)</f>
        <v>0.5</v>
      </c>
      <c r="I63" s="2">
        <f>IFERROR(__xludf.DUMMYFUNCTION("""COMPUTED_VALUE"""),0.5)</f>
        <v>0.5</v>
      </c>
      <c r="J63" s="2">
        <f>IFERROR(__xludf.DUMMYFUNCTION("""COMPUTED_VALUE"""),0.5)</f>
        <v>0.5</v>
      </c>
      <c r="K63" s="2" t="str">
        <f>IFERROR(__xludf.DUMMYFUNCTION("""COMPUTED_VALUE"""),"1 - Unusable Severely degraded, or non-Bangla")</f>
        <v>1 - Unusable Severely degraded, or non-Bangla</v>
      </c>
      <c r="L63" s="2" t="str">
        <f>IFERROR(__xludf.DUMMYFUNCTION("""COMPUTED_VALUE"""),"Yes")</f>
        <v>Yes</v>
      </c>
    </row>
    <row r="64">
      <c r="A64" s="2" t="str">
        <f>IFERROR(__xludf.DUMMYFUNCTION("""COMPUTED_VALUE"""),"D:\STT D3\STT D3\deliverables3\collect\miscellaneous\Dhaka FM\DFM - AUDIO CLIP (03-01-2023)\0e1a43f2-8d1d-4a51-b32a-ee86856dad4c.flac")</f>
        <v>D:\STT D3\STT D3\deliverables3\collect\miscellaneous\Dhaka FM\DFM - AUDIO CLIP (03-01-2023)\0e1a43f2-8d1d-4a51-b32a-ee86856dad4c.flac</v>
      </c>
      <c r="B64" s="2">
        <f>IFERROR(__xludf.DUMMYFUNCTION("""COMPUTED_VALUE"""),30.0)</f>
        <v>30</v>
      </c>
      <c r="C64" s="2" t="str">
        <f>IFERROR(__xludf.DUMMYFUNCTION("""COMPUTED_VALUE"""),"নগদ ইদ শোপিং অপটিড অ্যালফ রয়ান্স ওয়ালকামডে ঢাকায় ফামনাইনি ফায়ান ফোর অ্াগনেশন এক স্টেশনের ইতে আছি আপনার সাথে এবং রামজানকে ঘিরে আমাদের অনেক প্ল্যান থাকে অনেক চিন্তা ভাবনা থাকে তোপুরো রমজান জুড়েই ঢাকায় এফাম নাইন্টি পয়েন্ট ফোর কিন্তু আপনাদেরকে জানিয়ে দেবে শপি"&amp;"ং আপডেট শপিংয়ের নানা খবর কোথায় কি রকম কালেকশান নলো কোথায় কিরকম দাম কোথায় কিরকম ভীড়ভাট্যা ইত্যাদি তাদি তই সবকএই পুরো আয়োজনটা আমরা করছি নগদের্")</f>
        <v>নগদ ইদ শোপিং অপটিড অ্যালফ রয়ান্স ওয়ালকামডে ঢাকায় ফামনাইনি ফায়ান ফোর অ্াগনেশন এক স্টেশনের ইতে আছি আপনার সাথে এবং রামজানকে ঘিরে আমাদের অনেক প্ল্যান থাকে অনেক চিন্তা ভাবনা থাকে তোপুরো রমজান জুড়েই ঢাকায় এফাম নাইন্টি পয়েন্ট ফোর কিন্তু আপনাদেরকে জানিয়ে দেবে শপিং আপডেট শপিংয়ের নানা খবর কোথায় কি রকম কালেকশান নলো কোথায় কিরকম দাম কোথায় কিরকম ভীড়ভাট্যা ইত্যাদি তাদি তই সবকএই পুরো আয়োজনটা আমরা করছি নগদের্</v>
      </c>
      <c r="D64" s="2" t="str">
        <f>IFERROR(__xludf.DUMMYFUNCTION("""COMPUTED_VALUE"""),"No")</f>
        <v>No</v>
      </c>
      <c r="E64" s="2" t="str">
        <f>IFERROR(__xludf.DUMMYFUNCTION("""COMPUTED_VALUE"""),"No")</f>
        <v>No</v>
      </c>
      <c r="F64" s="2" t="str">
        <f>IFERROR(__xludf.DUMMYFUNCTION("""COMPUTED_VALUE"""),"Yes")</f>
        <v>Yes</v>
      </c>
      <c r="G64" s="2">
        <f>IFERROR(__xludf.DUMMYFUNCTION("""COMPUTED_VALUE"""),0.5)</f>
        <v>0.5</v>
      </c>
      <c r="H64" s="2">
        <f>IFERROR(__xludf.DUMMYFUNCTION("""COMPUTED_VALUE"""),0.5)</f>
        <v>0.5</v>
      </c>
      <c r="I64" s="2">
        <f>IFERROR(__xludf.DUMMYFUNCTION("""COMPUTED_VALUE"""),0.5)</f>
        <v>0.5</v>
      </c>
      <c r="J64" s="2">
        <f>IFERROR(__xludf.DUMMYFUNCTION("""COMPUTED_VALUE"""),0.0)</f>
        <v>0</v>
      </c>
      <c r="K64" s="2" t="str">
        <f>IFERROR(__xludf.DUMMYFUNCTION("""COMPUTED_VALUE"""),"4– Usable, minor flaws Minor background noise.")</f>
        <v>4– Usable, minor flaws Minor background noise.</v>
      </c>
      <c r="L64" s="2" t="str">
        <f>IFERROR(__xludf.DUMMYFUNCTION("""COMPUTED_VALUE"""),"Yes")</f>
        <v>Yes</v>
      </c>
    </row>
    <row r="65">
      <c r="A65" s="2" t="str">
        <f>IFERROR(__xludf.DUMMYFUNCTION("""COMPUTED_VALUE"""),"D:\STT D3\STT D3\deliverables3\collect\miscellaneous\Dhaka FM\DFM - AUDIO CLIP (03-01-2023)\0ea27261-44b8-4d8a-b597-ca1b773c4113.flac")</f>
        <v>D:\STT D3\STT D3\deliverables3\collect\miscellaneous\Dhaka FM\DFM - AUDIO CLIP (03-01-2023)\0ea27261-44b8-4d8a-b597-ca1b773c4113.flac</v>
      </c>
      <c r="B65" s="2">
        <f>IFERROR(__xludf.DUMMYFUNCTION("""COMPUTED_VALUE"""),30.0)</f>
        <v>30</v>
      </c>
      <c r="C65" s="2" t="str">
        <f>IFERROR(__xludf.DUMMYFUNCTION("""COMPUTED_VALUE"""),"কারণ আমাদের দেশে সবই এখন পাওয়া যায় সিজন সাড়াই বললাম ধরনের অসময়ের সবজি যদি আপনি কেনেন স্পেশালে ফুল কপিটা যদি কেনেন সে ক্ষেত্র এটার মধ্যে কিন্তু একটা গন্ধ থাকে একটা কাচা সবজি সবজি গন্ধ আসে সে গন্ধটা রান্না করলেও যায় না আবার স্যামটাইমসের মধ্যে পোকা থাকে কাটা"&amp;"র পরে কিছুক্ষণ লবণ পানিনিতে ভিজিয়ে রাখুন দেখবেন যে পোকাটা চলে যাচ্ছে আর একটু হালকা গোসম গরম পানিতে কিছুক্ষণ ভিজিয়ে রাখুন ফুল কপিটা কাটার পরে দেখবেন যে ওই যে সবজির কাছা কাছে একটা গন্ধ মানে অসময় হে")</f>
        <v>কারণ আমাদের দেশে সবই এখন পাওয়া যায় সিজন সাড়াই বললাম ধরনের অসময়ের সবজি যদি আপনি কেনেন স্পেশালে ফুল কপিটা যদি কেনেন সে ক্ষেত্র এটার মধ্যে কিন্তু একটা গন্ধ থাকে একটা কাচা সবজি সবজি গন্ধ আসে সে গন্ধটা রান্না করলেও যায় না আবার স্যামটাইমসের মধ্যে পোকা থাকে কাটার পরে কিছুক্ষণ লবণ পানিনিতে ভিজিয়ে রাখুন দেখবেন যে পোকাটা চলে যাচ্ছে আর একটু হালকা গোসম গরম পানিতে কিছুক্ষণ ভিজিয়ে রাখুন ফুল কপিটা কাটার পরে দেখবেন যে ওই যে সবজির কাছা কাছে একটা গন্ধ মানে অসময় হে</v>
      </c>
      <c r="D65" s="2" t="str">
        <f>IFERROR(__xludf.DUMMYFUNCTION("""COMPUTED_VALUE"""),"No")</f>
        <v>No</v>
      </c>
      <c r="E65" s="2" t="str">
        <f>IFERROR(__xludf.DUMMYFUNCTION("""COMPUTED_VALUE"""),"No")</f>
        <v>No</v>
      </c>
      <c r="F65" s="2" t="str">
        <f>IFERROR(__xludf.DUMMYFUNCTION("""COMPUTED_VALUE"""),"Yes")</f>
        <v>Yes</v>
      </c>
      <c r="G65" s="2">
        <f>IFERROR(__xludf.DUMMYFUNCTION("""COMPUTED_VALUE"""),1.0)</f>
        <v>1</v>
      </c>
      <c r="H65" s="2">
        <f>IFERROR(__xludf.DUMMYFUNCTION("""COMPUTED_VALUE"""),1.0)</f>
        <v>1</v>
      </c>
      <c r="I65" s="2">
        <f>IFERROR(__xludf.DUMMYFUNCTION("""COMPUTED_VALUE"""),1.0)</f>
        <v>1</v>
      </c>
      <c r="J65" s="2">
        <f>IFERROR(__xludf.DUMMYFUNCTION("""COMPUTED_VALUE"""),0.0)</f>
        <v>0</v>
      </c>
      <c r="K65" s="2" t="str">
        <f>IFERROR(__xludf.DUMMYFUNCTION("""COMPUTED_VALUE"""),"5 – High-quality, Clean Bangla speech")</f>
        <v>5 – High-quality, Clean Bangla speech</v>
      </c>
      <c r="L65" s="2" t="str">
        <f>IFERROR(__xludf.DUMMYFUNCTION("""COMPUTED_VALUE"""),"No")</f>
        <v>No</v>
      </c>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row r="1000">
      <c r="A1000" s="2"/>
      <c r="B1000" s="2"/>
      <c r="C1000" s="2"/>
      <c r="D1000" s="2"/>
      <c r="E1000" s="2"/>
      <c r="F1000" s="2"/>
      <c r="G1000" s="2"/>
      <c r="H1000" s="2"/>
      <c r="I1000" s="2"/>
      <c r="J1000" s="2"/>
      <c r="K1000" s="2"/>
      <c r="L1000"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IFERROR(__xludf.DUMMYFUNCTION("IMPORTRANGE(""https://docs.google.com/spreadsheets/d/1MWa6Tvw4zXRkw-sT1Z4FkDvYEbXl6LisfYmRs4QaUgo/edit?gid=1682353242#gid=1682353242"", ""collect/spontaneous/YouTube/Chapainawabganj TV!A:L"")"),"Filename")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IFERROR(__xludf.DUMMYFUNCTION("""COMPUTED_VALUE"""),"D:\STT D3\STT D3\deliverables3\collect\spontaneous\YouTube\Chapainawabganj TV\_t1y66NXLF0\01dc7587-205a-44bd-a4eb-807554ae7d78.flac")</f>
        <v>D:\STT D3\STT D3\deliverables3\collect\spontaneous\YouTube\Chapainawabganj TV\_t1y66NXLF0\01dc7587-205a-44bd-a4eb-807554ae7d78.flac</v>
      </c>
      <c r="B2" s="2">
        <f>IFERROR(__xludf.DUMMYFUNCTION("""COMPUTED_VALUE"""),30.0)</f>
        <v>30</v>
      </c>
      <c r="C2" s="2" t="str">
        <f>IFERROR(__xludf.DUMMYFUNCTION("""COMPUTED_VALUE"""),"এখন কি প্রথম সপার বিপোধে স্নানীটি সেরে পূজা তুলে পুজারে ছন আমার হি কথা ভা বসে কাকুন চা নতে সেই কারণ করলো জানতেই ছে পারে তুনি কিসে")</f>
        <v>এখন কি প্রথম সপার বিপোধে স্নানীটি সেরে পূজা তুলে পুজারে ছন আমার হি কথা ভা বসে কাকুন চা নতে সেই কারণ করলো জানতেই ছে পারে তুনি কিসে</v>
      </c>
      <c r="D2" s="2" t="str">
        <f>IFERROR(__xludf.DUMMYFUNCTION("""COMPUTED_VALUE"""),"No")</f>
        <v>No</v>
      </c>
      <c r="E2" s="2" t="str">
        <f>IFERROR(__xludf.DUMMYFUNCTION("""COMPUTED_VALUE"""),"Yes")</f>
        <v>Yes</v>
      </c>
      <c r="F2" s="2" t="str">
        <f>IFERROR(__xludf.DUMMYFUNCTION("""COMPUTED_VALUE"""),"Yes")</f>
        <v>Yes</v>
      </c>
      <c r="G2" s="2">
        <f>IFERROR(__xludf.DUMMYFUNCTION("""COMPUTED_VALUE"""),0.0)</f>
        <v>0</v>
      </c>
      <c r="H2" s="2">
        <f>IFERROR(__xludf.DUMMYFUNCTION("""COMPUTED_VALUE"""),0.0)</f>
        <v>0</v>
      </c>
      <c r="I2" s="2">
        <f>IFERROR(__xludf.DUMMYFUNCTION("""COMPUTED_VALUE"""),0.5)</f>
        <v>0.5</v>
      </c>
      <c r="J2" s="2">
        <f>IFERROR(__xludf.DUMMYFUNCTION("""COMPUTED_VALUE"""),1.0)</f>
        <v>1</v>
      </c>
      <c r="K2" s="2" t="str">
        <f>IFERROR(__xludf.DUMMYFUNCTION("""COMPUTED_VALUE"""),"5 – High-quality, Clean Bangla speech")</f>
        <v>5 – High-quality, Clean Bangla speech</v>
      </c>
      <c r="L2" s="2" t="str">
        <f>IFERROR(__xludf.DUMMYFUNCTION("""COMPUTED_VALUE"""),"No")</f>
        <v>No</v>
      </c>
    </row>
    <row r="3">
      <c r="A3" s="2" t="str">
        <f>IFERROR(__xludf.DUMMYFUNCTION("""COMPUTED_VALUE"""),"D:\STT D3\STT D3\deliverables3\collect\spontaneous\YouTube\Chapainawabganj TV\_t1y66NXLF0\056f7d6d-8306-4166-8d7c-aa02c760179b.flac")</f>
        <v>D:\STT D3\STT D3\deliverables3\collect\spontaneous\YouTube\Chapainawabganj TV\_t1y66NXLF0\056f7d6d-8306-4166-8d7c-aa02c760179b.flac</v>
      </c>
      <c r="B3" s="2">
        <f>IFERROR(__xludf.DUMMYFUNCTION("""COMPUTED_VALUE"""),30.0)</f>
        <v>30</v>
      </c>
      <c r="C3" s="2" t="str">
        <f>IFERROR(__xludf.DUMMYFUNCTION("""COMPUTED_VALUE"""),"মরেছি অনেকে চালায় চলে সেই আমারে মনিরে মানুষ বলে পড়েছি লাম ভেপে চালায় তোললে এবাড়ে দায়ালতে সবরন সাক্ষথি তে বা বুসাাদে বন ো মানে ছু আমায় নুম করেছি আমায় ক্ষণ করেছেন আমায়র পড়েছে কিনি কৌরেছে ভার আছি আমার পভেছে তুনিতেও হয়েছে")</f>
        <v>মরেছি অনেকে চালায় চলে সেই আমারে মনিরে মানুষ বলে পড়েছি লাম ভেপে চালায় তোললে এবাড়ে দায়ালতে সবরন সাক্ষথি তে বা বুসাাদে বন ো মানে ছু আমায় নুম করেছি আমায় ক্ষণ করেছেন আমায়র পড়েছে কিনি কৌরেছে ভার আছি আমার পভেছে তুনিতেও হয়েছে</v>
      </c>
      <c r="D3" s="2" t="str">
        <f>IFERROR(__xludf.DUMMYFUNCTION("""COMPUTED_VALUE"""),"No")</f>
        <v>No</v>
      </c>
      <c r="E3" s="2" t="str">
        <f>IFERROR(__xludf.DUMMYFUNCTION("""COMPUTED_VALUE"""),"No")</f>
        <v>No</v>
      </c>
      <c r="F3" s="2" t="str">
        <f>IFERROR(__xludf.DUMMYFUNCTION("""COMPUTED_VALUE"""),"Yes")</f>
        <v>Yes</v>
      </c>
      <c r="G3" s="2">
        <f>IFERROR(__xludf.DUMMYFUNCTION("""COMPUTED_VALUE"""),0.0)</f>
        <v>0</v>
      </c>
      <c r="H3" s="2">
        <f>IFERROR(__xludf.DUMMYFUNCTION("""COMPUTED_VALUE"""),0.0)</f>
        <v>0</v>
      </c>
      <c r="I3" s="2">
        <f>IFERROR(__xludf.DUMMYFUNCTION("""COMPUTED_VALUE"""),1.0)</f>
        <v>1</v>
      </c>
      <c r="J3" s="2">
        <f>IFERROR(__xludf.DUMMYFUNCTION("""COMPUTED_VALUE"""),1.0)</f>
        <v>1</v>
      </c>
      <c r="K3" s="2" t="str">
        <f>IFERROR(__xludf.DUMMYFUNCTION("""COMPUTED_VALUE"""),"5 – High-quality, Clean Bangla speech")</f>
        <v>5 – High-quality, Clean Bangla speech</v>
      </c>
      <c r="L3" s="2" t="str">
        <f>IFERROR(__xludf.DUMMYFUNCTION("""COMPUTED_VALUE"""),"No")</f>
        <v>No</v>
      </c>
    </row>
    <row r="4">
      <c r="A4" s="2" t="str">
        <f>IFERROR(__xludf.DUMMYFUNCTION("""COMPUTED_VALUE"""),"D:\STT D3\STT D3\deliverables3\collect\spontaneous\YouTube\Chapainawabganj TV\_t1y66NXLF0\17dc3fec-d152-49d7-9599-5d63bf6a4a10.flac")</f>
        <v>D:\STT D3\STT D3\deliverables3\collect\spontaneous\YouTube\Chapainawabganj TV\_t1y66NXLF0\17dc3fec-d152-49d7-9599-5d63bf6a4a10.flac</v>
      </c>
      <c r="B4" s="2">
        <f>IFERROR(__xludf.DUMMYFUNCTION("""COMPUTED_VALUE"""),30.0)</f>
        <v>30</v>
      </c>
      <c r="C4" s="2" t="str">
        <f>IFERROR(__xludf.DUMMYFUNCTION("""COMPUTED_VALUE"""),"স্বামী কিরে আরে জফর হতে আগাগোরামুড় আসে গাড়ি বাড়ি সবে কিছু দামিতা আটে ঘরে জেড়েছে নিখিলেশননাল বিজ্ঞাপনের চুনিয়াকে তো হর চখু করার কথা নিয়ে নি দেবাকে শ্রোতা ডিসুমি গাটা বসে শুধু অপেহা বুঝে এড়েছে ইয়ার্কটাটা আ রেনি হনিবড় গান্ত একটি ছোট করে গেইছে")</f>
        <v>স্বামী কিরে আরে জফর হতে আগাগোরামুড় আসে গাড়ি বাড়ি সবে কিছু দামিতা আটে ঘরে জেড়েছে নিখিলেশননাল বিজ্ঞাপনের চুনিয়াকে তো হর চখু করার কথা নিয়ে নি দেবাকে শ্রোতা ডিসুমি গাটা বসে শুধু অপেহা বুঝে এড়েছে ইয়ার্কটাটা আ রেনি হনিবড় গান্ত একটি ছোট করে গেইছে</v>
      </c>
      <c r="D4" s="2" t="str">
        <f>IFERROR(__xludf.DUMMYFUNCTION("""COMPUTED_VALUE"""),"No")</f>
        <v>No</v>
      </c>
      <c r="E4" s="2" t="str">
        <f>IFERROR(__xludf.DUMMYFUNCTION("""COMPUTED_VALUE"""),"No")</f>
        <v>No</v>
      </c>
      <c r="F4" s="2" t="str">
        <f>IFERROR(__xludf.DUMMYFUNCTION("""COMPUTED_VALUE"""),"Yes")</f>
        <v>Yes</v>
      </c>
      <c r="G4" s="2">
        <f>IFERROR(__xludf.DUMMYFUNCTION("""COMPUTED_VALUE"""),0.0)</f>
        <v>0</v>
      </c>
      <c r="H4" s="2">
        <f>IFERROR(__xludf.DUMMYFUNCTION("""COMPUTED_VALUE"""),0.0)</f>
        <v>0</v>
      </c>
      <c r="I4" s="2">
        <f>IFERROR(__xludf.DUMMYFUNCTION("""COMPUTED_VALUE"""),0.0)</f>
        <v>0</v>
      </c>
      <c r="J4" s="2">
        <f>IFERROR(__xludf.DUMMYFUNCTION("""COMPUTED_VALUE"""),1.0)</f>
        <v>1</v>
      </c>
      <c r="K4" s="2" t="str">
        <f>IFERROR(__xludf.DUMMYFUNCTION("""COMPUTED_VALUE"""),"5 – High-quality, Clean Bangla speech")</f>
        <v>5 – High-quality, Clean Bangla speech</v>
      </c>
      <c r="L4" s="2" t="str">
        <f>IFERROR(__xludf.DUMMYFUNCTION("""COMPUTED_VALUE"""),"No")</f>
        <v>No</v>
      </c>
    </row>
    <row r="5">
      <c r="A5" s="2" t="str">
        <f>IFERROR(__xludf.DUMMYFUNCTION("""COMPUTED_VALUE"""),"19593a4c-7eaa-4e96-8998-48392d4d4448")</f>
        <v>19593a4c-7eaa-4e96-8998-48392d4d4448</v>
      </c>
      <c r="B5" s="2">
        <f>IFERROR(__xludf.DUMMYFUNCTION("""COMPUTED_VALUE"""),30.0)</f>
        <v>30</v>
      </c>
      <c r="C5" s="2" t="str">
        <f>IFERROR(__xludf.DUMMYFUNCTION("""COMPUTED_VALUE"""),"এক ঘর্ন কী রাত ত বিঝ ু কলেই সারুদে কাহিম পাশে োলা করে থাকে ব্যাকোলে কি আসে আমার এ নিয়ে আসে হন্তার নদীকে দেই হলেই জানতেই চে কারে কু জানতেচে পারে তুমি কিস")</f>
        <v>এক ঘর্ন কী রাত ত বিঝ ু কলেই সারুদে কাহিম পাশে োলা করে থাকে ব্যাকোলে কি আসে আমার এ নিয়ে আসে হন্তার নদীকে দেই হলেই জানতেই চে কারে কু জানতেচে পারে তুমি কিস</v>
      </c>
      <c r="D5" s="2" t="str">
        <f>IFERROR(__xludf.DUMMYFUNCTION("""COMPUTED_VALUE"""),"No")</f>
        <v>No</v>
      </c>
      <c r="E5" s="2" t="str">
        <f>IFERROR(__xludf.DUMMYFUNCTION("""COMPUTED_VALUE"""),"No")</f>
        <v>No</v>
      </c>
      <c r="F5" s="2" t="str">
        <f>IFERROR(__xludf.DUMMYFUNCTION("""COMPUTED_VALUE"""),"Yes")</f>
        <v>Yes</v>
      </c>
      <c r="G5" s="2">
        <f>IFERROR(__xludf.DUMMYFUNCTION("""COMPUTED_VALUE"""),0.0)</f>
        <v>0</v>
      </c>
      <c r="H5" s="2">
        <f>IFERROR(__xludf.DUMMYFUNCTION("""COMPUTED_VALUE"""),0.5)</f>
        <v>0.5</v>
      </c>
      <c r="I5" s="2">
        <f>IFERROR(__xludf.DUMMYFUNCTION("""COMPUTED_VALUE"""),0.5)</f>
        <v>0.5</v>
      </c>
      <c r="J5" s="2">
        <f>IFERROR(__xludf.DUMMYFUNCTION("""COMPUTED_VALUE"""),1.0)</f>
        <v>1</v>
      </c>
      <c r="K5" s="2" t="str">
        <f>IFERROR(__xludf.DUMMYFUNCTION("""COMPUTED_VALUE"""),"5 – High-quality, Clean Bangla speech")</f>
        <v>5 – High-quality, Clean Bangla speech</v>
      </c>
      <c r="L5" s="2" t="str">
        <f>IFERROR(__xludf.DUMMYFUNCTION("""COMPUTED_VALUE"""),"No")</f>
        <v>No</v>
      </c>
    </row>
    <row r="6">
      <c r="A6" s="2" t="str">
        <f>IFERROR(__xludf.DUMMYFUNCTION("""COMPUTED_VALUE"""),"collect/spontaneous/YouTube/Chapainawabganj TV/_t1y66NXLF0/1df146d2-73aa-410e-9e39-2651f959e812.flac")</f>
        <v>collect/spontaneous/YouTube/Chapainawabganj TV/_t1y66NXLF0/1df146d2-73aa-410e-9e39-2651f959e812.flac</v>
      </c>
      <c r="B6" s="2">
        <f>IFERROR(__xludf.DUMMYFUNCTION("""COMPUTED_VALUE"""),30.0)</f>
        <v>30</v>
      </c>
      <c r="C6" s="2" t="str">
        <f>IFERROR(__xludf.DUMMYFUNCTION("""COMPUTED_VALUE"""),"আবার তো হবে দেখায় গানটি শোনার জন্য রাজিব আবারও লেখেছিলেন আচ্ছে যার প্রিয় দর্শক আমারা চলে যেচ্ছে আবার দাদার কাছে দাদা এবার কি শুনব বলে নার সেই সম্যব যরিপণ্ঠে আপনাকে তো আজকেছে আরা যাবে না যে গানআয়ার আমার ভালো লাগার একটি গান আমি শোনাইছিনিয়াল মধ্য অধ্যায়ে সুর"&amp;" শদ্ধ মিরানমধ্যাধ্ধে উনিশশ করেছেন কথা ছিল প্লব বন্দবাদ্যায়")</f>
        <v>আবার তো হবে দেখায় গানটি শোনার জন্য রাজিব আবারও লেখেছিলেন আচ্ছে যার প্রিয় দর্শক আমারা চলে যেচ্ছে আবার দাদার কাছে দাদা এবার কি শুনব বলে নার সেই সম্যব যরিপণ্ঠে আপনাকে তো আজকেছে আরা যাবে না যে গানআয়ার আমার ভালো লাগার একটি গান আমি শোনাইছিনিয়াল মধ্য অধ্যায়ে সুর শদ্ধ মিরানমধ্যাধ্ধে উনিশশ করেছেন কথা ছিল প্লব বন্দবাদ্যায়</v>
      </c>
      <c r="D6" s="2" t="str">
        <f>IFERROR(__xludf.DUMMYFUNCTION("""COMPUTED_VALUE"""),"No")</f>
        <v>No</v>
      </c>
      <c r="E6" s="2" t="str">
        <f>IFERROR(__xludf.DUMMYFUNCTION("""COMPUTED_VALUE"""),"No")</f>
        <v>No</v>
      </c>
      <c r="F6" s="2" t="str">
        <f>IFERROR(__xludf.DUMMYFUNCTION("""COMPUTED_VALUE"""),"Yes")</f>
        <v>Yes</v>
      </c>
      <c r="G6" s="2">
        <f>IFERROR(__xludf.DUMMYFUNCTION("""COMPUTED_VALUE"""),0.0)</f>
        <v>0</v>
      </c>
      <c r="H6" s="2">
        <f>IFERROR(__xludf.DUMMYFUNCTION("""COMPUTED_VALUE"""),0.5)</f>
        <v>0.5</v>
      </c>
      <c r="I6" s="2">
        <f>IFERROR(__xludf.DUMMYFUNCTION("""COMPUTED_VALUE"""),0.5)</f>
        <v>0.5</v>
      </c>
      <c r="J6" s="2">
        <f>IFERROR(__xludf.DUMMYFUNCTION("""COMPUTED_VALUE"""),0.0)</f>
        <v>0</v>
      </c>
      <c r="K6" s="2" t="str">
        <f>IFERROR(__xludf.DUMMYFUNCTION("""COMPUTED_VALUE"""),"4– Usable, minor flaws Minor background noise.")</f>
        <v>4– Usable, minor flaws Minor background noise.</v>
      </c>
      <c r="L6" s="2" t="str">
        <f>IFERROR(__xludf.DUMMYFUNCTION("""COMPUTED_VALUE"""),"No")</f>
        <v>No</v>
      </c>
    </row>
    <row r="7">
      <c r="A7" s="2" t="str">
        <f>IFERROR(__xludf.DUMMYFUNCTION("""COMPUTED_VALUE"""),"collect/spontaneous/YouTube/Chapainawabganj TV/_t1y66NXLF0/21aca1d2-3b7a-46fb-a10d-2d2c8004704d.flac")</f>
        <v>collect/spontaneous/YouTube/Chapainawabganj TV/_t1y66NXLF0/21aca1d2-3b7a-46fb-a10d-2d2c8004704d.flac</v>
      </c>
      <c r="B7" s="2">
        <f>IFERROR(__xludf.DUMMYFUNCTION("""COMPUTED_VALUE"""),30.0)</f>
        <v>30</v>
      </c>
      <c r="C7" s="2" t="str">
        <f>IFERROR(__xludf.DUMMYFUNCTION("""COMPUTED_VALUE"""),"থাকিতো হ সেটা হয়তো মানুষের খুব পছন্দ সেই খারে বলেছেন আমি সেই অর্থে গুণিভূমি কিছু না তাহ আমি দুয়েকাি আরও মতামত নিয়ে আসছে কামাল শুকরা না লিখেছেন প্রিয় মানুষের উপস্থাপনায় অনুষ্ঠান মন্তব্য কীবাব করব প্রিয় মানুষ এ যে অন্তর থেকে কথাগুলো বলেন আমার ভিচন ভালো লাগে"&amp;" আমার ভালোবাসায় শিখত হয়ে তাদের কাছাকাছি হৃদয়ের মাছ খো")</f>
        <v>থাকিতো হ সেটা হয়তো মানুষের খুব পছন্দ সেই খারে বলেছেন আমি সেই অর্থে গুণিভূমি কিছু না তাহ আমি দুয়েকাি আরও মতামত নিয়ে আসছে কামাল শুকরা না লিখেছেন প্রিয় মানুষের উপস্থাপনায় অনুষ্ঠান মন্তব্য কীবাব করব প্রিয় মানুষ এ যে অন্তর থেকে কথাগুলো বলেন আমার ভিচন ভালো লাগে আমার ভালোবাসায় শিখত হয়ে তাদের কাছাকাছি হৃদয়ের মাছ খো</v>
      </c>
      <c r="D7" s="2" t="str">
        <f>IFERROR(__xludf.DUMMYFUNCTION("""COMPUTED_VALUE"""),"No")</f>
        <v>No</v>
      </c>
      <c r="E7" s="2" t="str">
        <f>IFERROR(__xludf.DUMMYFUNCTION("""COMPUTED_VALUE"""),"No")</f>
        <v>No</v>
      </c>
      <c r="F7" s="2" t="str">
        <f>IFERROR(__xludf.DUMMYFUNCTION("""COMPUTED_VALUE"""),"Yes")</f>
        <v>Yes</v>
      </c>
      <c r="G7" s="2">
        <f>IFERROR(__xludf.DUMMYFUNCTION("""COMPUTED_VALUE"""),1.0)</f>
        <v>1</v>
      </c>
      <c r="H7" s="2">
        <f>IFERROR(__xludf.DUMMYFUNCTION("""COMPUTED_VALUE"""),1.0)</f>
        <v>1</v>
      </c>
      <c r="I7" s="2">
        <f>IFERROR(__xludf.DUMMYFUNCTION("""COMPUTED_VALUE"""),1.0)</f>
        <v>1</v>
      </c>
      <c r="J7" s="2">
        <f>IFERROR(__xludf.DUMMYFUNCTION("""COMPUTED_VALUE"""),0.0)</f>
        <v>0</v>
      </c>
      <c r="K7" s="2" t="str">
        <f>IFERROR(__xludf.DUMMYFUNCTION("""COMPUTED_VALUE"""),"5 – High-quality, Clean Bangla speech")</f>
        <v>5 – High-quality, Clean Bangla speech</v>
      </c>
      <c r="L7" s="2" t="str">
        <f>IFERROR(__xludf.DUMMYFUNCTION("""COMPUTED_VALUE"""),"No")</f>
        <v>No</v>
      </c>
    </row>
    <row r="8">
      <c r="A8" s="2" t="str">
        <f>IFERROR(__xludf.DUMMYFUNCTION("""COMPUTED_VALUE"""),"collect/spontaneous/YouTube/Chapainawabganj TV/_t1y66NXLF0/2a78f58c-88cc-44be-ad0d-b7ef4d61987d.flac")</f>
        <v>collect/spontaneous/YouTube/Chapainawabganj TV/_t1y66NXLF0/2a78f58c-88cc-44be-ad0d-b7ef4d61987d.flac</v>
      </c>
      <c r="B8" s="2">
        <f>IFERROR(__xludf.DUMMYFUNCTION("""COMPUTED_VALUE"""),30.0)</f>
        <v>30</v>
      </c>
      <c r="C8" s="2" t="str">
        <f>IFERROR(__xludf.DUMMYFUNCTION("""COMPUTED_VALUE"""),"রাজবাড়ী থেকে আচ্ছে রাজবাড়ি থেকে শোনছিল এবং কথাগুলো বিরেধিতে লাকায় পামলায় কড়ে পড়তে হচ্ছে আচছার শুনতেছি আমরা রাজবাড়ি থেকে নন্দারানী দাশ আপনার পিষি কিছু বলবেন তারা পিষিকে একটু কথাটা না একটু ডিনডিশ্টাপ হচ্ছে মাঝে মতি মেটালিক আওয়াজ হচ্ছে আপনার কথাটা বিশেষ করে "&amp;"শুনতে পাচ্ছি না একটু অসুবিধা হচ্ছে খলুন আচছে নে আরিটা আমি খুব মন দিয়ে শুনেছি খুব ভালো লাগল")</f>
        <v>রাজবাড়ী থেকে আচ্ছে রাজবাড়ি থেকে শোনছিল এবং কথাগুলো বিরেধিতে লাকায় পামলায় কড়ে পড়তে হচ্ছে আচছার শুনতেছি আমরা রাজবাড়ি থেকে নন্দারানী দাশ আপনার পিষি কিছু বলবেন তারা পিষিকে একটু কথাটা না একটু ডিনডিশ্টাপ হচ্ছে মাঝে মতি মেটালিক আওয়াজ হচ্ছে আপনার কথাটা বিশেষ করে শুনতে পাচ্ছি না একটু অসুবিধা হচ্ছে খলুন আচছে নে আরিটা আমি খুব মন দিয়ে শুনেছি খুব ভালো লাগল</v>
      </c>
      <c r="D8" s="2" t="str">
        <f>IFERROR(__xludf.DUMMYFUNCTION("""COMPUTED_VALUE"""),"No")</f>
        <v>No</v>
      </c>
      <c r="E8" s="2" t="str">
        <f>IFERROR(__xludf.DUMMYFUNCTION("""COMPUTED_VALUE"""),"Yes")</f>
        <v>Yes</v>
      </c>
      <c r="F8" s="2" t="str">
        <f>IFERROR(__xludf.DUMMYFUNCTION("""COMPUTED_VALUE"""),"Yes")</f>
        <v>Yes</v>
      </c>
      <c r="G8" s="2">
        <f>IFERROR(__xludf.DUMMYFUNCTION("""COMPUTED_VALUE"""),0.5)</f>
        <v>0.5</v>
      </c>
      <c r="H8" s="2">
        <f>IFERROR(__xludf.DUMMYFUNCTION("""COMPUTED_VALUE"""),0.5)</f>
        <v>0.5</v>
      </c>
      <c r="I8" s="2">
        <f>IFERROR(__xludf.DUMMYFUNCTION("""COMPUTED_VALUE"""),1.0)</f>
        <v>1</v>
      </c>
      <c r="J8" s="2">
        <f>IFERROR(__xludf.DUMMYFUNCTION("""COMPUTED_VALUE"""),0.5)</f>
        <v>0.5</v>
      </c>
      <c r="K8" s="2" t="str">
        <f>IFERROR(__xludf.DUMMYFUNCTION("""COMPUTED_VALUE"""),"4– Usable, minor flaws Minor background noise.")</f>
        <v>4– Usable, minor flaws Minor background noise.</v>
      </c>
      <c r="L8" s="2" t="str">
        <f>IFERROR(__xludf.DUMMYFUNCTION("""COMPUTED_VALUE"""),"No")</f>
        <v>No</v>
      </c>
    </row>
    <row r="9">
      <c r="A9" s="2" t="str">
        <f>IFERROR(__xludf.DUMMYFUNCTION("""COMPUTED_VALUE"""),"3016ed2c-4092-4c69-9b25-0356fca48e14")</f>
        <v>3016ed2c-4092-4c69-9b25-0356fca48e14</v>
      </c>
      <c r="B9" s="2">
        <f>IFERROR(__xludf.DUMMYFUNCTION("""COMPUTED_VALUE"""),30.0)</f>
        <v>30</v>
      </c>
      <c r="C9" s="2" t="str">
        <f>IFERROR(__xludf.DUMMYFUNCTION("""COMPUTED_VALUE"""),"চালিয়ে যান আমি আছি চাবে না বাবলঞ্জ টিভরির সাপে কতখানে ভালোবাসা থাকি কী পরিমাণ ভালোবাসার দূরোদর্শিত ভালোবাসা শক্তি থাকলে এগলো মুখ থেকে বেরিয়ে আস কত চমৎকার করে কিছু হ্যা একদম ্যাচা যা দীপঙকর শাহ আবারোলিথেকে এ রকমে একটি সুন্দর সন্ধ্যাহ উপহার দেওয়ার জন্য চাপা"&amp;"ই নবর কনসটি রিখিে জানায় ধন্যবাদ আচ্ছাদারা এই যে এতগুলো মতমত তুললাম ন")</f>
        <v>চালিয়ে যান আমি আছি চাবে না বাবলঞ্জ টিভরির সাপে কতখানে ভালোবাসা থাকি কী পরিমাণ ভালোবাসার দূরোদর্শিত ভালোবাসা শক্তি থাকলে এগলো মুখ থেকে বেরিয়ে আস কত চমৎকার করে কিছু হ্যা একদম ্যাচা যা দীপঙকর শাহ আবারোলিথেকে এ রকমে একটি সুন্দর সন্ধ্যাহ উপহার দেওয়ার জন্য চাপাই নবর কনসটি রিখিে জানায় ধন্যবাদ আচ্ছাদারা এই যে এতগুলো মতমত তুললাম ন</v>
      </c>
      <c r="D9" s="2" t="str">
        <f>IFERROR(__xludf.DUMMYFUNCTION("""COMPUTED_VALUE"""),"No")</f>
        <v>No</v>
      </c>
      <c r="E9" s="2" t="str">
        <f>IFERROR(__xludf.DUMMYFUNCTION("""COMPUTED_VALUE"""),"No")</f>
        <v>No</v>
      </c>
      <c r="F9" s="2" t="str">
        <f>IFERROR(__xludf.DUMMYFUNCTION("""COMPUTED_VALUE"""),"Yes")</f>
        <v>Yes</v>
      </c>
      <c r="G9" s="2">
        <f>IFERROR(__xludf.DUMMYFUNCTION("""COMPUTED_VALUE"""),0.5)</f>
        <v>0.5</v>
      </c>
      <c r="H9" s="2">
        <f>IFERROR(__xludf.DUMMYFUNCTION("""COMPUTED_VALUE"""),0.5)</f>
        <v>0.5</v>
      </c>
      <c r="I9" s="2">
        <f>IFERROR(__xludf.DUMMYFUNCTION("""COMPUTED_VALUE"""),0.5)</f>
        <v>0.5</v>
      </c>
      <c r="J9" s="2">
        <f>IFERROR(__xludf.DUMMYFUNCTION("""COMPUTED_VALUE"""),0.0)</f>
        <v>0</v>
      </c>
      <c r="K9" s="2" t="str">
        <f>IFERROR(__xludf.DUMMYFUNCTION("""COMPUTED_VALUE"""),"5 – High-quality, Clean Bangla speech")</f>
        <v>5 – High-quality, Clean Bangla speech</v>
      </c>
      <c r="L9" s="2" t="str">
        <f>IFERROR(__xludf.DUMMYFUNCTION("""COMPUTED_VALUE"""),"No")</f>
        <v>No</v>
      </c>
    </row>
    <row r="10">
      <c r="A10" s="2" t="str">
        <f>IFERROR(__xludf.DUMMYFUNCTION("""COMPUTED_VALUE"""),"collect/spontaneous/YouTube/Chapainawabganj TV/_t1y66NXLF0/3b9bfda9-ce52-47a1-9731-be73495389aa.flac")</f>
        <v>collect/spontaneous/YouTube/Chapainawabganj TV/_t1y66NXLF0/3b9bfda9-ce52-47a1-9731-be73495389aa.flac</v>
      </c>
      <c r="B10" s="2">
        <f>IFERROR(__xludf.DUMMYFUNCTION("""COMPUTED_VALUE"""),30.0)</f>
        <v>30</v>
      </c>
      <c r="C10" s="2" t="str">
        <f>IFERROR(__xludf.DUMMYFUNCTION("""COMPUTED_VALUE"""),"আচ্ছা রুবিনা হক আবার লিখেছেন যদি অসুস্থ তবুব যতক্ষণ পারব পাশি আছি রবিনাহক অসুস্থ বলেছেন আমরা আপনার সুস্ন্ত কামনা করছে স্তুত্তিকর্তা যেন আপনাকে দ্রুত সুস্থতার অবশ্য ইয়ম দান করেন নিই প্রত্যাশা এবং কৃক্তিকর্তার কাছে প্রার্থনা করে আচ্ছা সুবাশি চ্যাটার্দি লিখে"&amp;"ছেন তুমি কেমন করে গান করো হেগুনি আমি ওবারক হরিস্ট ো মতা")</f>
        <v>আচ্ছা রুবিনা হক আবার লিখেছেন যদি অসুস্থ তবুব যতক্ষণ পারব পাশি আছি রবিনাহক অসুস্থ বলেছেন আমরা আপনার সুস্ন্ত কামনা করছে স্তুত্তিকর্তা যেন আপনাকে দ্রুত সুস্থতার অবশ্য ইয়ম দান করেন নিই প্রত্যাশা এবং কৃক্তিকর্তার কাছে প্রার্থনা করে আচ্ছা সুবাশি চ্যাটার্দি লিখেছেন তুমি কেমন করে গান করো হেগুনি আমি ওবারক হরিস্ট ো মতা</v>
      </c>
      <c r="D10" s="2"/>
      <c r="E10" s="2"/>
      <c r="F10" s="2"/>
      <c r="G10" s="2">
        <f>IFERROR(__xludf.DUMMYFUNCTION("""COMPUTED_VALUE"""),0.5)</f>
        <v>0.5</v>
      </c>
      <c r="H10" s="2">
        <f>IFERROR(__xludf.DUMMYFUNCTION("""COMPUTED_VALUE"""),0.5)</f>
        <v>0.5</v>
      </c>
      <c r="I10" s="2">
        <f>IFERROR(__xludf.DUMMYFUNCTION("""COMPUTED_VALUE"""),0.5)</f>
        <v>0.5</v>
      </c>
      <c r="J10" s="2">
        <f>IFERROR(__xludf.DUMMYFUNCTION("""COMPUTED_VALUE"""),0.5)</f>
        <v>0.5</v>
      </c>
      <c r="K10" s="2" t="str">
        <f>IFERROR(__xludf.DUMMYFUNCTION("""COMPUTED_VALUE"""),"4– Usable, minor flaws Minor background noise.")</f>
        <v>4– Usable, minor flaws Minor background noise.</v>
      </c>
      <c r="L10" s="2" t="str">
        <f>IFERROR(__xludf.DUMMYFUNCTION("""COMPUTED_VALUE"""),"No")</f>
        <v>No</v>
      </c>
    </row>
    <row r="11">
      <c r="A11" s="2" t="str">
        <f>IFERROR(__xludf.DUMMYFUNCTION("""COMPUTED_VALUE"""),"collect/spontaneous/YouTube/Chapainawabganj TV/_t1y66NXLF0/43562006-2a31-44da-a000-0ac36bc7939c.flac")</f>
        <v>collect/spontaneous/YouTube/Chapainawabganj TV/_t1y66NXLF0/43562006-2a31-44da-a000-0ac36bc7939c.flac</v>
      </c>
      <c r="B11" s="2">
        <f>IFERROR(__xludf.DUMMYFUNCTION("""COMPUTED_VALUE"""),30.0)</f>
        <v>30</v>
      </c>
      <c r="C11" s="2" t="str">
        <f>IFERROR(__xludf.DUMMYFUNCTION("""COMPUTED_VALUE"""),"জানতে ইচ্ছে করে এই সাধনা কীভাবে সম্ভব হলো এতদিন পরে ভীষণ জানতে ইচ্ছে করে অসাধারণ গায়কে অসাধারণ বলে বোঝানো যাবে না ইতোমধ্যেই এই কথাগুলো লিখে পাঠিয়েছেন আবদুল হামিদ অসাধারণ সত্যিই অসাধারণ প্রদীপ দাশ লিখেছেন তোমার একটা গান শুরু করেছিলে কথাটা মনে পড়ছে না যেটা "&amp;"তোমার মেয়ে ও তোমায় তোমার সাথে")</f>
        <v>জানতে ইচ্ছে করে এই সাধনা কীভাবে সম্ভব হলো এতদিন পরে ভীষণ জানতে ইচ্ছে করে অসাধারণ গায়কে অসাধারণ বলে বোঝানো যাবে না ইতোমধ্যেই এই কথাগুলো লিখে পাঠিয়েছেন আবদুল হামিদ অসাধারণ সত্যিই অসাধারণ প্রদীপ দাশ লিখেছেন তোমার একটা গান শুরু করেছিলে কথাটা মনে পড়ছে না যেটা তোমার মেয়ে ও তোমায় তোমার সাথে</v>
      </c>
      <c r="D11" s="2" t="str">
        <f>IFERROR(__xludf.DUMMYFUNCTION("""COMPUTED_VALUE"""),"Yes")</f>
        <v>Yes</v>
      </c>
      <c r="E11" s="2" t="str">
        <f>IFERROR(__xludf.DUMMYFUNCTION("""COMPUTED_VALUE"""),"No")</f>
        <v>No</v>
      </c>
      <c r="F11" s="2" t="str">
        <f>IFERROR(__xludf.DUMMYFUNCTION("""COMPUTED_VALUE"""),"No")</f>
        <v>No</v>
      </c>
      <c r="G11" s="2">
        <f>IFERROR(__xludf.DUMMYFUNCTION("""COMPUTED_VALUE"""),1.0)</f>
        <v>1</v>
      </c>
      <c r="H11" s="2">
        <f>IFERROR(__xludf.DUMMYFUNCTION("""COMPUTED_VALUE"""),1.0)</f>
        <v>1</v>
      </c>
      <c r="I11" s="2">
        <f>IFERROR(__xludf.DUMMYFUNCTION("""COMPUTED_VALUE"""),1.0)</f>
        <v>1</v>
      </c>
      <c r="J11" s="2">
        <f>IFERROR(__xludf.DUMMYFUNCTION("""COMPUTED_VALUE"""),0.5)</f>
        <v>0.5</v>
      </c>
      <c r="K11" s="2" t="str">
        <f>IFERROR(__xludf.DUMMYFUNCTION("""COMPUTED_VALUE"""),"5 – High-quality, Clean Bangla speech")</f>
        <v>5 – High-quality, Clean Bangla speech</v>
      </c>
      <c r="L11" s="2" t="str">
        <f>IFERROR(__xludf.DUMMYFUNCTION("""COMPUTED_VALUE"""),"No")</f>
        <v>No</v>
      </c>
    </row>
    <row r="12">
      <c r="A12" s="2" t="str">
        <f>IFERROR(__xludf.DUMMYFUNCTION("""COMPUTED_VALUE"""),"collect/spontaneous/YouTube/Chapainawabganj TV/_t1y66NXLF0/44b5153d-67fa-40b9-b265-f5d66978a500.flac")</f>
        <v>collect/spontaneous/YouTube/Chapainawabganj TV/_t1y66NXLF0/44b5153d-67fa-40b9-b265-f5d66978a500.flac</v>
      </c>
      <c r="B12" s="2">
        <f>IFERROR(__xludf.DUMMYFUNCTION("""COMPUTED_VALUE"""),30.0)</f>
        <v>30</v>
      </c>
      <c r="C12" s="2" t="str">
        <f>IFERROR(__xludf.DUMMYFUNCTION("""COMPUTED_VALUE"""),"াা ি িনানত কে নারা নার নারাীনামে জুনাল অক্টোবর মেলা নেলেন কি ছোট করে গাইলাম বড় গান হামতাল হেউ খ অনেক গান গাইতে পারো তাকেও টকি া পাজ কনতা রাজা ন আমি কিছু বলব না দর্শকরাই বলে দিয়েছেন অনেক কথা মি সেগুলো টা আপনাকে সোনাতে চাই আমি কিছু কলব না")</f>
        <v>াা ি িনানত কে নারা নার নারাীনামে জুনাল অক্টোবর মেলা নেলেন কি ছোট করে গাইলাম বড় গান হামতাল হেউ খ অনেক গান গাইতে পারো তাকেও টকি া পাজ কনতা রাজা ন আমি কিছু বলব না দর্শকরাই বলে দিয়েছেন অনেক কথা মি সেগুলো টা আপনাকে সোনাতে চাই আমি কিছু কলব না</v>
      </c>
      <c r="D12" s="2" t="str">
        <f>IFERROR(__xludf.DUMMYFUNCTION("""COMPUTED_VALUE"""),"No")</f>
        <v>No</v>
      </c>
      <c r="E12" s="2" t="str">
        <f>IFERROR(__xludf.DUMMYFUNCTION("""COMPUTED_VALUE"""),"No")</f>
        <v>No</v>
      </c>
      <c r="F12" s="2" t="str">
        <f>IFERROR(__xludf.DUMMYFUNCTION("""COMPUTED_VALUE"""),"Yes")</f>
        <v>Yes</v>
      </c>
      <c r="G12" s="2">
        <f>IFERROR(__xludf.DUMMYFUNCTION("""COMPUTED_VALUE"""),0.5)</f>
        <v>0.5</v>
      </c>
      <c r="H12" s="2">
        <f>IFERROR(__xludf.DUMMYFUNCTION("""COMPUTED_VALUE"""),0.5)</f>
        <v>0.5</v>
      </c>
      <c r="I12" s="2">
        <f>IFERROR(__xludf.DUMMYFUNCTION("""COMPUTED_VALUE"""),1.0)</f>
        <v>1</v>
      </c>
      <c r="J12" s="2">
        <f>IFERROR(__xludf.DUMMYFUNCTION("""COMPUTED_VALUE"""),0.0)</f>
        <v>0</v>
      </c>
      <c r="K12" s="2" t="str">
        <f>IFERROR(__xludf.DUMMYFUNCTION("""COMPUTED_VALUE"""),"4– Usable, minor flaws Minor background noise.")</f>
        <v>4– Usable, minor flaws Minor background noise.</v>
      </c>
      <c r="L12" s="2" t="str">
        <f>IFERROR(__xludf.DUMMYFUNCTION("""COMPUTED_VALUE"""),"No")</f>
        <v>No</v>
      </c>
    </row>
    <row r="13">
      <c r="A13" s="2" t="str">
        <f>IFERROR(__xludf.DUMMYFUNCTION("""COMPUTED_VALUE"""),"collect/spontaneous/YouTube/Chapainawabganj TV/_t1y66NXLF0/45c67ebb-84da-4d24-b5e1-4d1c88a0f14f.flac")</f>
        <v>collect/spontaneous/YouTube/Chapainawabganj TV/_t1y66NXLF0/45c67ebb-84da-4d24-b5e1-4d1c88a0f14f.flac</v>
      </c>
      <c r="B13" s="2">
        <f>IFERROR(__xludf.DUMMYFUNCTION("""COMPUTED_VALUE"""),30.0)</f>
        <v>30</v>
      </c>
      <c r="C13" s="2" t="str">
        <f>IFERROR(__xludf.DUMMYFUNCTION("""COMPUTED_VALUE"""),"ধন্যবাদ জানাতেই হয় আপনারা তার কারিগর আপনাদের বিশেষ ধন্যবাদ একদম হৃদয়টা কোন একদম শুরুতে শুরুতেই হৃদয়টা ছেনিয়ে দিলেন তারা কী চমৎকার করে বলেছেন যে এই যে সাংস্কৃতিক বিপ্লব এই বিপ্লবটা ছোট্ট হলেও যে আমাদের প্রয়াসটা ইচ্ছাটা অনেক শক্তি আসলে ইচ্ছেটাই হচ্ছে মানুষে"&amp;"র প্রবর অনেক বড় না হ্যা ্যা স্নত উদ্দেশ্যই া আপনাদের ভালো ছ যা অসংখ্য ধন্যবাদে বছ")</f>
        <v>ধন্যবাদ জানাতেই হয় আপনারা তার কারিগর আপনাদের বিশেষ ধন্যবাদ একদম হৃদয়টা কোন একদম শুরুতে শুরুতেই হৃদয়টা ছেনিয়ে দিলেন তারা কী চমৎকার করে বলেছেন যে এই যে সাংস্কৃতিক বিপ্লব এই বিপ্লবটা ছোট্ট হলেও যে আমাদের প্রয়াসটা ইচ্ছাটা অনেক শক্তি আসলে ইচ্ছেটাই হচ্ছে মানুষের প্রবর অনেক বড় না হ্যা ্যা স্নত উদ্দেশ্যই া আপনাদের ভালো ছ যা অসংখ্য ধন্যবাদে বছ</v>
      </c>
      <c r="D13" s="2" t="str">
        <f>IFERROR(__xludf.DUMMYFUNCTION("""COMPUTED_VALUE"""),"No")</f>
        <v>No</v>
      </c>
      <c r="E13" s="2" t="str">
        <f>IFERROR(__xludf.DUMMYFUNCTION("""COMPUTED_VALUE"""),"No")</f>
        <v>No</v>
      </c>
      <c r="F13" s="2" t="str">
        <f>IFERROR(__xludf.DUMMYFUNCTION("""COMPUTED_VALUE"""),"Yes")</f>
        <v>Yes</v>
      </c>
      <c r="G13" s="2">
        <f>IFERROR(__xludf.DUMMYFUNCTION("""COMPUTED_VALUE"""),0.5)</f>
        <v>0.5</v>
      </c>
      <c r="H13" s="2">
        <f>IFERROR(__xludf.DUMMYFUNCTION("""COMPUTED_VALUE"""),0.5)</f>
        <v>0.5</v>
      </c>
      <c r="I13" s="2">
        <f>IFERROR(__xludf.DUMMYFUNCTION("""COMPUTED_VALUE"""),1.0)</f>
        <v>1</v>
      </c>
      <c r="J13" s="2">
        <f>IFERROR(__xludf.DUMMYFUNCTION("""COMPUTED_VALUE"""),0.0)</f>
        <v>0</v>
      </c>
      <c r="K13" s="2" t="str">
        <f>IFERROR(__xludf.DUMMYFUNCTION("""COMPUTED_VALUE"""),"4– Usable, minor flaws Minor background noise.")</f>
        <v>4– Usable, minor flaws Minor background noise.</v>
      </c>
      <c r="L13" s="2" t="str">
        <f>IFERROR(__xludf.DUMMYFUNCTION("""COMPUTED_VALUE"""),"No")</f>
        <v>No</v>
      </c>
    </row>
    <row r="14">
      <c r="A14" s="2" t="str">
        <f>IFERROR(__xludf.DUMMYFUNCTION("""COMPUTED_VALUE"""),"collect/spontaneous/YouTube/Chapainawabganj TV/_t1y66NXLF0/47b3b362-5b53-448d-a0cc-2cf87d3dc3b9.flac")</f>
        <v>collect/spontaneous/YouTube/Chapainawabganj TV/_t1y66NXLF0/47b3b362-5b53-448d-a0cc-2cf87d3dc3b9.flac</v>
      </c>
      <c r="B14" s="2">
        <f>IFERROR(__xludf.DUMMYFUNCTION("""COMPUTED_VALUE"""),30.0)</f>
        <v>30</v>
      </c>
      <c r="C14" s="2" t="str">
        <f>IFERROR(__xludf.DUMMYFUNCTION("""COMPUTED_VALUE"""),"তারপর কত চন্দ্রগ্রুহক আমবস্যা চলে গেল কিন্তু সেই বশ্টুমী আর গেলো না পঁচিশ বছর ও দীক্ষায় আছি মাবা বাড়ির মাঝি নাদের আলী বলেছিল বড় হ দাদা ঠাকুর তোমাকে আমি তিন প্রহরের বিল দেখাতে নিয়ে যাব সেখানে পদ্ম ফুলের মাথায় সাপ আ ভ্রমুর খেলা করে")</f>
        <v>তারপর কত চন্দ্রগ্রুহক আমবস্যা চলে গেল কিন্তু সেই বশ্টুমী আর গেলো না পঁচিশ বছর ও দীক্ষায় আছি মাবা বাড়ির মাঝি নাদের আলী বলেছিল বড় হ দাদা ঠাকুর তোমাকে আমি তিন প্রহরের বিল দেখাতে নিয়ে যাব সেখানে পদ্ম ফুলের মাথায় সাপ আ ভ্রমুর খেলা করে</v>
      </c>
      <c r="D14" s="2" t="str">
        <f>IFERROR(__xludf.DUMMYFUNCTION("""COMPUTED_VALUE"""),"No")</f>
        <v>No</v>
      </c>
      <c r="E14" s="2" t="str">
        <f>IFERROR(__xludf.DUMMYFUNCTION("""COMPUTED_VALUE"""),"No")</f>
        <v>No</v>
      </c>
      <c r="F14" s="2" t="str">
        <f>IFERROR(__xludf.DUMMYFUNCTION("""COMPUTED_VALUE"""),"Yes")</f>
        <v>Yes</v>
      </c>
      <c r="G14" s="2">
        <f>IFERROR(__xludf.DUMMYFUNCTION("""COMPUTED_VALUE"""),0.5)</f>
        <v>0.5</v>
      </c>
      <c r="H14" s="2">
        <f>IFERROR(__xludf.DUMMYFUNCTION("""COMPUTED_VALUE"""),0.5)</f>
        <v>0.5</v>
      </c>
      <c r="I14" s="2">
        <f>IFERROR(__xludf.DUMMYFUNCTION("""COMPUTED_VALUE"""),1.0)</f>
        <v>1</v>
      </c>
      <c r="J14" s="2">
        <f>IFERROR(__xludf.DUMMYFUNCTION("""COMPUTED_VALUE"""),0.5)</f>
        <v>0.5</v>
      </c>
      <c r="K14" s="2" t="str">
        <f>IFERROR(__xludf.DUMMYFUNCTION("""COMPUTED_VALUE"""),"5 – High-quality, Clean Bangla speech")</f>
        <v>5 – High-quality, Clean Bangla speech</v>
      </c>
      <c r="L14" s="2" t="str">
        <f>IFERROR(__xludf.DUMMYFUNCTION("""COMPUTED_VALUE"""),"No")</f>
        <v>No</v>
      </c>
    </row>
    <row r="15">
      <c r="A15" s="2" t="str">
        <f>IFERROR(__xludf.DUMMYFUNCTION("""COMPUTED_VALUE"""),"collect/spontaneous/YouTube/Chapainawabganj TV/_t1y66NXLF0/49759a1d-d18f-49e0-b286-02926d95c5b4.flac")</f>
        <v>collect/spontaneous/YouTube/Chapainawabganj TV/_t1y66NXLF0/49759a1d-d18f-49e0-b286-02926d95c5b4.flac</v>
      </c>
      <c r="B15" s="2">
        <f>IFERROR(__xludf.DUMMYFUNCTION("""COMPUTED_VALUE"""),30.0)</f>
        <v>30</v>
      </c>
      <c r="C15" s="2" t="str">
        <f>IFERROR(__xludf.DUMMYFUNCTION("""COMPUTED_VALUE"""),"অত্যান্ত চমৎকেরা হয়েছে তারা অস্া অ ইতিমধ্যে তে অনেক মতামত চলে এসেছে আর মতামত আমি নিতে পারব না কারণ আমরা একাঙ্গের ধ্যে বাথা রয়েছি আমাদের আমাদের সময় শেষ াদে ফ্যাকন করতে হবে শেষ করতে হবে সধ্য ধন্যবাদ যু দর্শকে আপনক্ষণ আপনারা আমাদের কীতিভাবে অ্যাপসংসা করেছেন "&amp;"আমাদের শিল্পী কিজিভা প্রশাস করেছেন আমার প্রশাস্য করেছে")</f>
        <v>অত্যান্ত চমৎকেরা হয়েছে তারা অস্া অ ইতিমধ্যে তে অনেক মতামত চলে এসেছে আর মতামত আমি নিতে পারব না কারণ আমরা একাঙ্গের ধ্যে বাথা রয়েছি আমাদের আমাদের সময় শেষ াদে ফ্যাকন করতে হবে শেষ করতে হবে সধ্য ধন্যবাদ যু দর্শকে আপনক্ষণ আপনারা আমাদের কীতিভাবে অ্যাপসংসা করেছেন আমাদের শিল্পী কিজিভা প্রশাস করেছেন আমার প্রশাস্য করেছে</v>
      </c>
      <c r="D15" s="2" t="str">
        <f>IFERROR(__xludf.DUMMYFUNCTION("""COMPUTED_VALUE"""),"No")</f>
        <v>No</v>
      </c>
      <c r="E15" s="2" t="str">
        <f>IFERROR(__xludf.DUMMYFUNCTION("""COMPUTED_VALUE"""),"No")</f>
        <v>No</v>
      </c>
      <c r="F15" s="2" t="str">
        <f>IFERROR(__xludf.DUMMYFUNCTION("""COMPUTED_VALUE"""),"Yes")</f>
        <v>Yes</v>
      </c>
      <c r="G15" s="2">
        <f>IFERROR(__xludf.DUMMYFUNCTION("""COMPUTED_VALUE"""),1.0)</f>
        <v>1</v>
      </c>
      <c r="H15" s="2">
        <f>IFERROR(__xludf.DUMMYFUNCTION("""COMPUTED_VALUE"""),0.5)</f>
        <v>0.5</v>
      </c>
      <c r="I15" s="2">
        <f>IFERROR(__xludf.DUMMYFUNCTION("""COMPUTED_VALUE"""),0.5)</f>
        <v>0.5</v>
      </c>
      <c r="J15" s="2">
        <f>IFERROR(__xludf.DUMMYFUNCTION("""COMPUTED_VALUE"""),0.0)</f>
        <v>0</v>
      </c>
      <c r="K15" s="2" t="str">
        <f>IFERROR(__xludf.DUMMYFUNCTION("""COMPUTED_VALUE"""),"4– Usable, minor flaws Minor background noise.")</f>
        <v>4– Usable, minor flaws Minor background noise.</v>
      </c>
      <c r="L15" s="2" t="str">
        <f>IFERROR(__xludf.DUMMYFUNCTION("""COMPUTED_VALUE"""),"No")</f>
        <v>No</v>
      </c>
    </row>
    <row r="16">
      <c r="A16" s="2" t="str">
        <f>IFERROR(__xludf.DUMMYFUNCTION("""COMPUTED_VALUE"""),"collect/spontaneous/YouTube/Chapainawabganj TV/_t1y66NXLF0/504e6f30-5aee-4104-b3cb-4d95d30d2969.flac")</f>
        <v>collect/spontaneous/YouTube/Chapainawabganj TV/_t1y66NXLF0/504e6f30-5aee-4104-b3cb-4d95d30d2969.flac</v>
      </c>
      <c r="B16" s="2">
        <f>IFERROR(__xludf.DUMMYFUNCTION("""COMPUTED_VALUE"""),30.0)</f>
        <v>30</v>
      </c>
      <c r="C16" s="2" t="str">
        <f>IFERROR(__xludf.DUMMYFUNCTION("""COMPUTED_VALUE"""),"সেই আগে ই নেমো রাজ মা তুমি কি সেই আগে কতই বিহাজ করুন নাকি হলি মিখ্যাণী বোদেন এই গ্যাছ করোর মাননি জানতেই সেই করি জানতেইছে করে  কান কার্া তারা আমাদের")</f>
        <v>সেই আগে ই নেমো রাজ মা তুমি কি সেই আগে কতই বিহাজ করুন নাকি হলি মিখ্যাণী বোদেন এই গ্যাছ করোর মাননি জানতেই সেই করি জানতেইছে করে  কান কার্া তারা আমাদের</v>
      </c>
      <c r="D16" s="2" t="str">
        <f>IFERROR(__xludf.DUMMYFUNCTION("""COMPUTED_VALUE"""),"No")</f>
        <v>No</v>
      </c>
      <c r="E16" s="2" t="str">
        <f>IFERROR(__xludf.DUMMYFUNCTION("""COMPUTED_VALUE"""),"No")</f>
        <v>No</v>
      </c>
      <c r="F16" s="2" t="str">
        <f>IFERROR(__xludf.DUMMYFUNCTION("""COMPUTED_VALUE"""),"Yes")</f>
        <v>Yes</v>
      </c>
      <c r="G16" s="2">
        <f>IFERROR(__xludf.DUMMYFUNCTION("""COMPUTED_VALUE"""),0.0)</f>
        <v>0</v>
      </c>
      <c r="H16" s="2">
        <f>IFERROR(__xludf.DUMMYFUNCTION("""COMPUTED_VALUE"""),0.0)</f>
        <v>0</v>
      </c>
      <c r="I16" s="2">
        <f>IFERROR(__xludf.DUMMYFUNCTION("""COMPUTED_VALUE"""),1.0)</f>
        <v>1</v>
      </c>
      <c r="J16" s="2">
        <f>IFERROR(__xludf.DUMMYFUNCTION("""COMPUTED_VALUE"""),1.0)</f>
        <v>1</v>
      </c>
      <c r="K16" s="2" t="str">
        <f>IFERROR(__xludf.DUMMYFUNCTION("""COMPUTED_VALUE"""),"5 – High-quality, Clean Bangla speech")</f>
        <v>5 – High-quality, Clean Bangla speech</v>
      </c>
      <c r="L16" s="2" t="str">
        <f>IFERROR(__xludf.DUMMYFUNCTION("""COMPUTED_VALUE"""),"No")</f>
        <v>No</v>
      </c>
    </row>
    <row r="17">
      <c r="A17" s="2" t="str">
        <f>IFERROR(__xludf.DUMMYFUNCTION("""COMPUTED_VALUE"""),"collect/spontaneous/YouTube/Chapainawabganj TV/_t1y66NXLF0/514c1da7-c0d0-4601-81f5-e0fee67e6088.flac")</f>
        <v>collect/spontaneous/YouTube/Chapainawabganj TV/_t1y66NXLF0/514c1da7-c0d0-4601-81f5-e0fee67e6088.flac</v>
      </c>
      <c r="B17" s="2">
        <f>IFERROR(__xludf.DUMMYFUNCTION("""COMPUTED_VALUE"""),30.0)</f>
        <v>30</v>
      </c>
      <c r="C17" s="2" t="str">
        <f>IFERROR(__xludf.DUMMYFUNCTION("""COMPUTED_VALUE"""),"ুপা কাজ পাবে লেহলো মনে ফরাণী ফলা সে মেশা এরা মে ত্রণ র্ভি তেরুরি আখাস মনের করণী উপাধিন সেবা আর রাসীবা আাশপার ইলে শৈন্য মনে পরা নী ফলা আসেনিস এরা মিট্রনহমিতে এ আকাশ ছুলই নাই বাতে ইলাম ভালো")</f>
        <v>ুপা কাজ পাবে লেহলো মনে ফরাণী ফলা সে মেশা এরা মে ত্রণ র্ভি তেরুরি আখাস মনের করণী উপাধিন সেবা আর রাসীবা আাশপার ইলে শৈন্য মনে পরা নী ফলা আসেনিস এরা মিট্রনহমিতে এ আকাশ ছুলই নাই বাতে ইলাম ভালো</v>
      </c>
      <c r="D17" s="2" t="str">
        <f>IFERROR(__xludf.DUMMYFUNCTION("""COMPUTED_VALUE"""),"No")</f>
        <v>No</v>
      </c>
      <c r="E17" s="2" t="str">
        <f>IFERROR(__xludf.DUMMYFUNCTION("""COMPUTED_VALUE"""),"No")</f>
        <v>No</v>
      </c>
      <c r="F17" s="2" t="str">
        <f>IFERROR(__xludf.DUMMYFUNCTION("""COMPUTED_VALUE"""),"Yes")</f>
        <v>Yes</v>
      </c>
      <c r="G17" s="2">
        <f>IFERROR(__xludf.DUMMYFUNCTION("""COMPUTED_VALUE"""),0.0)</f>
        <v>0</v>
      </c>
      <c r="H17" s="2">
        <f>IFERROR(__xludf.DUMMYFUNCTION("""COMPUTED_VALUE"""),0.0)</f>
        <v>0</v>
      </c>
      <c r="I17" s="2">
        <f>IFERROR(__xludf.DUMMYFUNCTION("""COMPUTED_VALUE"""),0.0)</f>
        <v>0</v>
      </c>
      <c r="J17" s="2">
        <f>IFERROR(__xludf.DUMMYFUNCTION("""COMPUTED_VALUE"""),0.5)</f>
        <v>0.5</v>
      </c>
      <c r="K17" s="2" t="str">
        <f>IFERROR(__xludf.DUMMYFUNCTION("""COMPUTED_VALUE"""),"5 – High-quality, Clean Bangla speech")</f>
        <v>5 – High-quality, Clean Bangla speech</v>
      </c>
      <c r="L17" s="2" t="str">
        <f>IFERROR(__xludf.DUMMYFUNCTION("""COMPUTED_VALUE"""),"No")</f>
        <v>No</v>
      </c>
    </row>
    <row r="18">
      <c r="A18" s="2" t="str">
        <f>IFERROR(__xludf.DUMMYFUNCTION("""COMPUTED_VALUE"""),"collect/spontaneous/YouTube/Chapainawabganj TV/_t1y66NXLF0/51f65b18-bf73-4064-826d-f01fcce29572.flac")</f>
        <v>collect/spontaneous/YouTube/Chapainawabganj TV/_t1y66NXLF0/51f65b18-bf73-4064-826d-f01fcce29572.flac</v>
      </c>
      <c r="B18" s="2">
        <f>IFERROR(__xludf.DUMMYFUNCTION("""COMPUTED_VALUE"""),30.0)</f>
        <v>30</v>
      </c>
      <c r="C18" s="2" t="str">
        <f>IFERROR(__xludf.DUMMYFUNCTION("""COMPUTED_VALUE"""),"আচ্ছা র ও চাঁদ সামলে রউপর জোছনা গিয়ে গানটি শুনতে চাদেন শুব সন স্ট্যাটার্জি আচ্ছা দাটা চলে যায় কী গান শোনতে পার আজশাহা আমি ই অনেকেইতো অনুরোধ করছেন সব গান্ত এই স্স্বল্প পরিসরে এত ছোট সময় তো গাওয়া মুশকিল আমি চেষ্টা করছি এ কপি অলস্টরেকটনি করি জিজিজিকপিাা")</f>
        <v>আচ্ছা র ও চাঁদ সামলে রউপর জোছনা গিয়ে গানটি শুনতে চাদেন শুব সন স্ট্যাটার্জি আচ্ছা দাটা চলে যায় কী গান শোনতে পার আজশাহা আমি ই অনেকেইতো অনুরোধ করছেন সব গান্ত এই স্স্বল্প পরিসরে এত ছোট সময় তো গাওয়া মুশকিল আমি চেষ্টা করছি এ কপি অলস্টরেকটনি করি জিজিজিকপিাা</v>
      </c>
      <c r="D18" s="2" t="str">
        <f>IFERROR(__xludf.DUMMYFUNCTION("""COMPUTED_VALUE"""),"No")</f>
        <v>No</v>
      </c>
      <c r="E18" s="2" t="str">
        <f>IFERROR(__xludf.DUMMYFUNCTION("""COMPUTED_VALUE"""),"No")</f>
        <v>No</v>
      </c>
      <c r="F18" s="2" t="str">
        <f>IFERROR(__xludf.DUMMYFUNCTION("""COMPUTED_VALUE"""),"Yes")</f>
        <v>Yes</v>
      </c>
      <c r="G18" s="2">
        <f>IFERROR(__xludf.DUMMYFUNCTION("""COMPUTED_VALUE"""),0.5)</f>
        <v>0.5</v>
      </c>
      <c r="H18" s="2">
        <f>IFERROR(__xludf.DUMMYFUNCTION("""COMPUTED_VALUE"""),0.5)</f>
        <v>0.5</v>
      </c>
      <c r="I18" s="2">
        <f>IFERROR(__xludf.DUMMYFUNCTION("""COMPUTED_VALUE"""),0.5)</f>
        <v>0.5</v>
      </c>
      <c r="J18" s="2">
        <f>IFERROR(__xludf.DUMMYFUNCTION("""COMPUTED_VALUE"""),0.0)</f>
        <v>0</v>
      </c>
      <c r="K18" s="2" t="str">
        <f>IFERROR(__xludf.DUMMYFUNCTION("""COMPUTED_VALUE"""),"5 – High-quality, Clean Bangla speech")</f>
        <v>5 – High-quality, Clean Bangla speech</v>
      </c>
      <c r="L18" s="2" t="str">
        <f>IFERROR(__xludf.DUMMYFUNCTION("""COMPUTED_VALUE"""),"No")</f>
        <v>No</v>
      </c>
    </row>
    <row r="19">
      <c r="A19" s="2" t="str">
        <f>IFERROR(__xludf.DUMMYFUNCTION("""COMPUTED_VALUE"""),"collect/spontaneous/YouTube/Chapainawabganj TV/_t1y66NXLF0/5675b269-35ef-4b58-876a-53505217c1b7.flac")</f>
        <v>collect/spontaneous/YouTube/Chapainawabganj TV/_t1y66NXLF0/5675b269-35ef-4b58-876a-53505217c1b7.flac</v>
      </c>
      <c r="B19" s="2">
        <f>IFERROR(__xludf.DUMMYFUNCTION("""COMPUTED_VALUE"""),30.0)</f>
        <v>30</v>
      </c>
      <c r="C19" s="2" t="str">
        <f>IFERROR(__xludf.DUMMYFUNCTION("""COMPUTED_VALUE"""),"িন্তু মুসলমান মুসলিম আর নয়ন মুসলিম তার নয়ন মণ্ি হিন্দু হলিম তার নয়ন মণি ঘেন্দু তাহারপ দুই বাংলার গল্প গান পান মনে হচ্ছে নদীর দুটি শাখার এক জায়গায় মিলিত হলো যেমন পদ্মা যেমুনার মিলন স্থান ধন্যবাদ জানায় চাপাই না ব মাস্টিফিকে এত সুন্দর মিলিয়ন মেলায় মেলার আয়োজ"&amp;"ন করার জন্য অসাধারণ পরিবেশনার জন্য ধন্যবাদ জানায় প্রণোব দত্তকী")</f>
        <v>িন্তু মুসলমান মুসলিম আর নয়ন মুসলিম তার নয়ন মণ্ি হিন্দু হলিম তার নয়ন মণি ঘেন্দু তাহারপ দুই বাংলার গল্প গান পান মনে হচ্ছে নদীর দুটি শাখার এক জায়গায় মিলিত হলো যেমন পদ্মা যেমুনার মিলন স্থান ধন্যবাদ জানায় চাপাই না ব মাস্টিফিকে এত সুন্দর মিলিয়ন মেলায় মেলার আয়োজন করার জন্য অসাধারণ পরিবেশনার জন্য ধন্যবাদ জানায় প্রণোব দত্তকী</v>
      </c>
      <c r="D19" s="2" t="str">
        <f>IFERROR(__xludf.DUMMYFUNCTION("""COMPUTED_VALUE"""),"No")</f>
        <v>No</v>
      </c>
      <c r="E19" s="2" t="str">
        <f>IFERROR(__xludf.DUMMYFUNCTION("""COMPUTED_VALUE"""),"No")</f>
        <v>No</v>
      </c>
      <c r="F19" s="2" t="str">
        <f>IFERROR(__xludf.DUMMYFUNCTION("""COMPUTED_VALUE"""),"Yes")</f>
        <v>Yes</v>
      </c>
      <c r="G19" s="2">
        <f>IFERROR(__xludf.DUMMYFUNCTION("""COMPUTED_VALUE"""),0.5)</f>
        <v>0.5</v>
      </c>
      <c r="H19" s="2">
        <f>IFERROR(__xludf.DUMMYFUNCTION("""COMPUTED_VALUE"""),0.5)</f>
        <v>0.5</v>
      </c>
      <c r="I19" s="2">
        <f>IFERROR(__xludf.DUMMYFUNCTION("""COMPUTED_VALUE"""),0.5)</f>
        <v>0.5</v>
      </c>
      <c r="J19" s="2">
        <f>IFERROR(__xludf.DUMMYFUNCTION("""COMPUTED_VALUE"""),0.0)</f>
        <v>0</v>
      </c>
      <c r="K19" s="2" t="str">
        <f>IFERROR(__xludf.DUMMYFUNCTION("""COMPUTED_VALUE"""),"5 – High-quality, Clean Bangla speech")</f>
        <v>5 – High-quality, Clean Bangla speech</v>
      </c>
      <c r="L19" s="2" t="str">
        <f>IFERROR(__xludf.DUMMYFUNCTION("""COMPUTED_VALUE"""),"No")</f>
        <v>No</v>
      </c>
    </row>
    <row r="20">
      <c r="A20" s="2" t="str">
        <f>IFERROR(__xludf.DUMMYFUNCTION("""COMPUTED_VALUE"""),"collect/spontaneous/YouTube/Chapainawabganj TV/_t1y66NXLF0/59d5a6b3-fd80-4dc8-a161-0698362c2080.flac")</f>
        <v>collect/spontaneous/YouTube/Chapainawabganj TV/_t1y66NXLF0/59d5a6b3-fd80-4dc8-a161-0698362c2080.flac</v>
      </c>
      <c r="B20" s="2">
        <f>IFERROR(__xludf.DUMMYFUNCTION("""COMPUTED_VALUE"""),30.0)</f>
        <v>30</v>
      </c>
      <c r="C20" s="2" t="str">
        <f>IFERROR(__xludf.DUMMYFUNCTION("""COMPUTED_VALUE"""),"জাতির পিতা শেখ মুজিবুর রহমান তিনি বলেছিলেন যে তোমাদের হাতে যা কিছু আছে তাই নিয়ে শত্রুর মোকাবেলান করা তাই আমরা সারা বাঙালি জাতি তাই করেছ এবং বুকের টাজা রক্তে সমগ্র পুষ্তীর বাঙালি জাতি হ্যাঁ সবুজ ঘাঁস রক্তের আঙগী দিয়েছিল বুকে তাজা রক্তে এবং আমরা পেয়েছে মহান"&amp;" সার্পীনটা মহান বিজয়ী আমরা জাতির পেতা বঙ্গবন্তু স্")</f>
        <v>জাতির পিতা শেখ মুজিবুর রহমান তিনি বলেছিলেন যে তোমাদের হাতে যা কিছু আছে তাই নিয়ে শত্রুর মোকাবেলান করা তাই আমরা সারা বাঙালি জাতি তাই করেছ এবং বুকের টাজা রক্তে সমগ্র পুষ্তীর বাঙালি জাতি হ্যাঁ সবুজ ঘাঁস রক্তের আঙগী দিয়েছিল বুকে তাজা রক্তে এবং আমরা পেয়েছে মহান সার্পীনটা মহান বিজয়ী আমরা জাতির পেতা বঙ্গবন্তু স্</v>
      </c>
      <c r="D20" s="2" t="str">
        <f>IFERROR(__xludf.DUMMYFUNCTION("""COMPUTED_VALUE"""),"No")</f>
        <v>No</v>
      </c>
      <c r="E20" s="2" t="str">
        <f>IFERROR(__xludf.DUMMYFUNCTION("""COMPUTED_VALUE"""),"No")</f>
        <v>No</v>
      </c>
      <c r="F20" s="2" t="str">
        <f>IFERROR(__xludf.DUMMYFUNCTION("""COMPUTED_VALUE"""),"Yes")</f>
        <v>Yes</v>
      </c>
      <c r="G20" s="2">
        <f>IFERROR(__xludf.DUMMYFUNCTION("""COMPUTED_VALUE"""),1.0)</f>
        <v>1</v>
      </c>
      <c r="H20" s="2">
        <f>IFERROR(__xludf.DUMMYFUNCTION("""COMPUTED_VALUE"""),1.0)</f>
        <v>1</v>
      </c>
      <c r="I20" s="2">
        <f>IFERROR(__xludf.DUMMYFUNCTION("""COMPUTED_VALUE"""),0.5)</f>
        <v>0.5</v>
      </c>
      <c r="J20" s="2">
        <f>IFERROR(__xludf.DUMMYFUNCTION("""COMPUTED_VALUE"""),0.0)</f>
        <v>0</v>
      </c>
      <c r="K20" s="2" t="str">
        <f>IFERROR(__xludf.DUMMYFUNCTION("""COMPUTED_VALUE"""),"5 – High-quality, Clean Bangla speech")</f>
        <v>5 – High-quality, Clean Bangla speech</v>
      </c>
      <c r="L20" s="2" t="str">
        <f>IFERROR(__xludf.DUMMYFUNCTION("""COMPUTED_VALUE"""),"No")</f>
        <v>No</v>
      </c>
    </row>
    <row r="21">
      <c r="A21" s="2" t="str">
        <f>IFERROR(__xludf.DUMMYFUNCTION("""COMPUTED_VALUE"""),"collect/spontaneous/YouTube/Chapainawabganj TV/_t1y66NXLF0/60540269-b34a-4ce3-995e-083bea221e67.flac")</f>
        <v>collect/spontaneous/YouTube/Chapainawabganj TV/_t1y66NXLF0/60540269-b34a-4ce3-995e-083bea221e67.flac</v>
      </c>
      <c r="B21" s="2">
        <f>IFERROR(__xludf.DUMMYFUNCTION("""COMPUTED_VALUE"""),30.0)</f>
        <v>30</v>
      </c>
      <c r="C21" s="2" t="str">
        <f>IFERROR(__xludf.DUMMYFUNCTION("""COMPUTED_VALUE"""),"লেখো ঢুককি সন্ধ্যা দে নায় আবার এবারি রসময় পেরিয়ে গেলে অনেএকতি মানে চো কেতু টো জ্বলে পাওরি যান দেই সে কার কু জানতেই চে পারে তুমিকে")</f>
        <v>লেখো ঢুককি সন্ধ্যা দে নায় আবার এবারি রসময় পেরিয়ে গেলে অনেএকতি মানে চো কেতু টো জ্বলে পাওরি যান দেই সে কার কু জানতেই চে পারে তুমিকে</v>
      </c>
      <c r="D21" s="2"/>
      <c r="E21" s="2" t="str">
        <f>IFERROR(__xludf.DUMMYFUNCTION("""COMPUTED_VALUE"""),"No")</f>
        <v>No</v>
      </c>
      <c r="F21" s="2" t="str">
        <f>IFERROR(__xludf.DUMMYFUNCTION("""COMPUTED_VALUE"""),"Yes")</f>
        <v>Yes</v>
      </c>
      <c r="G21" s="2">
        <f>IFERROR(__xludf.DUMMYFUNCTION("""COMPUTED_VALUE"""),0.0)</f>
        <v>0</v>
      </c>
      <c r="H21" s="2">
        <f>IFERROR(__xludf.DUMMYFUNCTION("""COMPUTED_VALUE"""),0.0)</f>
        <v>0</v>
      </c>
      <c r="I21" s="2">
        <f>IFERROR(__xludf.DUMMYFUNCTION("""COMPUTED_VALUE"""),0.5)</f>
        <v>0.5</v>
      </c>
      <c r="J21" s="2">
        <f>IFERROR(__xludf.DUMMYFUNCTION("""COMPUTED_VALUE"""),1.0)</f>
        <v>1</v>
      </c>
      <c r="K21" s="2" t="str">
        <f>IFERROR(__xludf.DUMMYFUNCTION("""COMPUTED_VALUE"""),"5 – High-quality, Clean Bangla speech")</f>
        <v>5 – High-quality, Clean Bangla speech</v>
      </c>
      <c r="L21" s="2" t="str">
        <f>IFERROR(__xludf.DUMMYFUNCTION("""COMPUTED_VALUE"""),"No")</f>
        <v>No</v>
      </c>
    </row>
    <row r="22">
      <c r="A22" s="2" t="str">
        <f>IFERROR(__xludf.DUMMYFUNCTION("""COMPUTED_VALUE"""),"collect/spontaneous/YouTube/Chapainawabganj TV/_t1y66NXLF0/61caf11d-e980-49ce-b4fe-d575630e2093.flac")</f>
        <v>collect/spontaneous/YouTube/Chapainawabganj TV/_t1y66NXLF0/61caf11d-e980-49ce-b4fe-d575630e2093.flac</v>
      </c>
      <c r="B22" s="2">
        <f>IFERROR(__xludf.DUMMYFUNCTION("""COMPUTED_VALUE"""),30.0)</f>
        <v>30</v>
      </c>
      <c r="C22" s="2" t="str">
        <f>IFERROR(__xludf.DUMMYFUNCTION("""COMPUTED_VALUE"""),"হাদাদাত সকলকে আমার পক্ষ থেকে বিনম্র শ্রদ্ধা বয়স্করে শ্রদ্ধা জানাই সকলের কে দারুণ আজকে আমি অভিভূত আপনাদের এই অনুষ্ঠানে ইছে আমার খুব ভালো লেগেছে হয়তো অনেক গান শোনান নিশ্ছয়ে ছিল সব এত কম সময় সব গান শোনানোর সম্ভাবনা আপনারা আমার সহ্য করেছেন আমাই যে বর্দোস্ত কর"&amp;"েছেন আমি আপনাদেরকে ছে কৃতজ্ঞ")</f>
        <v>হাদাদাত সকলকে আমার পক্ষ থেকে বিনম্র শ্রদ্ধা বয়স্করে শ্রদ্ধা জানাই সকলের কে দারুণ আজকে আমি অভিভূত আপনাদের এই অনুষ্ঠানে ইছে আমার খুব ভালো লেগেছে হয়তো অনেক গান শোনান নিশ্ছয়ে ছিল সব এত কম সময় সব গান শোনানোর সম্ভাবনা আপনারা আমার সহ্য করেছেন আমাই যে বর্দোস্ত করেছেন আমি আপনাদেরকে ছে কৃতজ্ঞ</v>
      </c>
      <c r="D22" s="2" t="str">
        <f>IFERROR(__xludf.DUMMYFUNCTION("""COMPUTED_VALUE"""),"No")</f>
        <v>No</v>
      </c>
      <c r="E22" s="2" t="str">
        <f>IFERROR(__xludf.DUMMYFUNCTION("""COMPUTED_VALUE"""),"No")</f>
        <v>No</v>
      </c>
      <c r="F22" s="2" t="str">
        <f>IFERROR(__xludf.DUMMYFUNCTION("""COMPUTED_VALUE"""),"Yes")</f>
        <v>Yes</v>
      </c>
      <c r="G22" s="2">
        <f>IFERROR(__xludf.DUMMYFUNCTION("""COMPUTED_VALUE"""),0.5)</f>
        <v>0.5</v>
      </c>
      <c r="H22" s="2">
        <f>IFERROR(__xludf.DUMMYFUNCTION("""COMPUTED_VALUE"""),0.5)</f>
        <v>0.5</v>
      </c>
      <c r="I22" s="2">
        <f>IFERROR(__xludf.DUMMYFUNCTION("""COMPUTED_VALUE"""),1.0)</f>
        <v>1</v>
      </c>
      <c r="J22" s="2">
        <f>IFERROR(__xludf.DUMMYFUNCTION("""COMPUTED_VALUE"""),0.0)</f>
        <v>0</v>
      </c>
      <c r="K22" s="2" t="str">
        <f>IFERROR(__xludf.DUMMYFUNCTION("""COMPUTED_VALUE"""),"5 – High-quality, Clean Bangla speech")</f>
        <v>5 – High-quality, Clean Bangla speech</v>
      </c>
      <c r="L22" s="2" t="str">
        <f>IFERROR(__xludf.DUMMYFUNCTION("""COMPUTED_VALUE"""),"No")</f>
        <v>No</v>
      </c>
    </row>
    <row r="23">
      <c r="A23" s="2" t="str">
        <f>IFERROR(__xludf.DUMMYFUNCTION("""COMPUTED_VALUE"""),"collect/spontaneous/YouTube/Chapainawabganj TV/_t1y66NXLF0/7a01b0db-4877-449b-bbdd-00ae05a1f590.flac")</f>
        <v>collect/spontaneous/YouTube/Chapainawabganj TV/_t1y66NXLF0/7a01b0db-4877-449b-bbdd-00ae05a1f590.flac</v>
      </c>
      <c r="B23" s="2">
        <f>IFERROR(__xludf.DUMMYFUNCTION("""COMPUTED_VALUE"""),30.0)</f>
        <v>30</v>
      </c>
      <c r="C23" s="2" t="str">
        <f>IFERROR(__xludf.DUMMYFUNCTION("""COMPUTED_VALUE"""),"ধারা চোখেই দেখি উনি আমাকে ভীষণ ভালোবাসেন তিনি আর কেউ নান পরোল্ট বলব নাম টি দানটা বলেই ফেলি লেন প্রদ্ীপ দাস ওনে ফ্রা া বাবা বাবা পধীপ দাস িদার বাংলাদেশের মানে নি নজরুল সংগীতে সম্রাটউনি আমার প্রশংসা করেছেন আমি উনার চলনে আমার মানে সটোকতি পুামনাকে")</f>
        <v>ধারা চোখেই দেখি উনি আমাকে ভীষণ ভালোবাসেন তিনি আর কেউ নান পরোল্ট বলব নাম টি দানটা বলেই ফেলি লেন প্রদ্ীপ দাস ওনে ফ্রা া বাবা বাবা পধীপ দাস িদার বাংলাদেশের মানে নি নজরুল সংগীতে সম্রাটউনি আমার প্রশংসা করেছেন আমি উনার চলনে আমার মানে সটোকতি পুামনাকে</v>
      </c>
      <c r="D23" s="2" t="str">
        <f>IFERROR(__xludf.DUMMYFUNCTION("""COMPUTED_VALUE"""),"No")</f>
        <v>No</v>
      </c>
      <c r="E23" s="2" t="str">
        <f>IFERROR(__xludf.DUMMYFUNCTION("""COMPUTED_VALUE"""),"No")</f>
        <v>No</v>
      </c>
      <c r="F23" s="2" t="str">
        <f>IFERROR(__xludf.DUMMYFUNCTION("""COMPUTED_VALUE"""),"Yes")</f>
        <v>Yes</v>
      </c>
      <c r="G23" s="2">
        <f>IFERROR(__xludf.DUMMYFUNCTION("""COMPUTED_VALUE"""),0.5)</f>
        <v>0.5</v>
      </c>
      <c r="H23" s="2">
        <f>IFERROR(__xludf.DUMMYFUNCTION("""COMPUTED_VALUE"""),0.5)</f>
        <v>0.5</v>
      </c>
      <c r="I23" s="2">
        <f>IFERROR(__xludf.DUMMYFUNCTION("""COMPUTED_VALUE"""),0.5)</f>
        <v>0.5</v>
      </c>
      <c r="J23" s="2">
        <f>IFERROR(__xludf.DUMMYFUNCTION("""COMPUTED_VALUE"""),0.0)</f>
        <v>0</v>
      </c>
      <c r="K23" s="2" t="str">
        <f>IFERROR(__xludf.DUMMYFUNCTION("""COMPUTED_VALUE"""),"5 – High-quality, Clean Bangla speech")</f>
        <v>5 – High-quality, Clean Bangla speech</v>
      </c>
      <c r="L23" s="2" t="str">
        <f>IFERROR(__xludf.DUMMYFUNCTION("""COMPUTED_VALUE"""),"No")</f>
        <v>No</v>
      </c>
    </row>
    <row r="24">
      <c r="A24" s="2" t="str">
        <f>IFERROR(__xludf.DUMMYFUNCTION("""COMPUTED_VALUE"""),"collect/spontaneous/YouTube/Chapainawabganj TV/_t1y66NXLF0/7ba98eea-15f7-4fcc-96e5-3f75e6e913ac.flac")</f>
        <v>collect/spontaneous/YouTube/Chapainawabganj TV/_t1y66NXLF0/7ba98eea-15f7-4fcc-96e5-3f75e6e913ac.flac</v>
      </c>
      <c r="B24" s="2">
        <f>IFERROR(__xludf.DUMMYFUNCTION("""COMPUTED_VALUE"""),30.0)</f>
        <v>30</v>
      </c>
      <c r="C24" s="2" t="str">
        <f>IFERROR(__xludf.DUMMYFUNCTION("""COMPUTED_VALUE"""),"ভালো লেগেছে উনার গায়কি গুনাড়িয়ে বলবার উচ্চারণের ঢং আমার খুব ভালো লাগে উনি তো নঃসন্দে খ বড় ডিজেন্ট উনি আর প্রশংসায় আমাকে আপলুত করল ছআরাতা ভালো থাকবে ন পদা ভালো থাকবেন হ্যাঁ আমি একটু সংযোজন করতে চাই এত মানে এত জানা মানুষ মানে এত জানটা উনি এত জানি উনার কথায় "&amp;"কিন্তু পেছে যায় না উনি কথা যখন বলবেন কু সুন্দর")</f>
        <v>ভালো লেগেছে উনার গায়কি গুনাড়িয়ে বলবার উচ্চারণের ঢং আমার খুব ভালো লাগে উনি তো নঃসন্দে খ বড় ডিজেন্ট উনি আর প্রশংসায় আমাকে আপলুত করল ছআরাতা ভালো থাকবে ন পদা ভালো থাকবেন হ্যাঁ আমি একটু সংযোজন করতে চাই এত মানে এত জানা মানুষ মানে এত জানটা উনি এত জানি উনার কথায় কিন্তু পেছে যায় না উনি কথা যখন বলবেন কু সুন্দর</v>
      </c>
      <c r="D24" s="2" t="str">
        <f>IFERROR(__xludf.DUMMYFUNCTION("""COMPUTED_VALUE"""),"No")</f>
        <v>No</v>
      </c>
      <c r="E24" s="2" t="str">
        <f>IFERROR(__xludf.DUMMYFUNCTION("""COMPUTED_VALUE"""),"No")</f>
        <v>No</v>
      </c>
      <c r="F24" s="2" t="str">
        <f>IFERROR(__xludf.DUMMYFUNCTION("""COMPUTED_VALUE"""),"Yes")</f>
        <v>Yes</v>
      </c>
      <c r="G24" s="2">
        <f>IFERROR(__xludf.DUMMYFUNCTION("""COMPUTED_VALUE"""),0.0)</f>
        <v>0</v>
      </c>
      <c r="H24" s="2">
        <f>IFERROR(__xludf.DUMMYFUNCTION("""COMPUTED_VALUE"""),0.0)</f>
        <v>0</v>
      </c>
      <c r="I24" s="2">
        <f>IFERROR(__xludf.DUMMYFUNCTION("""COMPUTED_VALUE"""),0.5)</f>
        <v>0.5</v>
      </c>
      <c r="J24" s="2">
        <f>IFERROR(__xludf.DUMMYFUNCTION("""COMPUTED_VALUE"""),0.0)</f>
        <v>0</v>
      </c>
      <c r="K24" s="2" t="str">
        <f>IFERROR(__xludf.DUMMYFUNCTION("""COMPUTED_VALUE"""),"4– Usable, minor flaws Minor background noise.")</f>
        <v>4– Usable, minor flaws Minor background noise.</v>
      </c>
      <c r="L24" s="2" t="str">
        <f>IFERROR(__xludf.DUMMYFUNCTION("""COMPUTED_VALUE"""),"No")</f>
        <v>No</v>
      </c>
    </row>
    <row r="25">
      <c r="A25" s="2" t="str">
        <f>IFERROR(__xludf.DUMMYFUNCTION("""COMPUTED_VALUE"""),"collect/spontaneous/YouTube/Chapainawabganj TV/_t1y66NXLF0/7c5236c8-5e9b-4a3e-859f-fd91045262ac.flac")</f>
        <v>collect/spontaneous/YouTube/Chapainawabganj TV/_t1y66NXLF0/7c5236c8-5e9b-4a3e-859f-fd91045262ac.flac</v>
      </c>
      <c r="B25" s="2">
        <f>IFERROR(__xludf.DUMMYFUNCTION("""COMPUTED_VALUE"""),30.0)</f>
        <v>30</v>
      </c>
      <c r="C25" s="2" t="str">
        <f>IFERROR(__xludf.DUMMYFUNCTION("""COMPUTED_VALUE"""),"বাঙালি জাতের উত্তরণ বাঙালি জাতের উত্তরণ হয়েছে এদের হাত ধরি সুতরাং সেটা তো একটা সত্যি ভালো লাগে এদের কথা বলতে ভাবতে আমাদের িদি এদের পথ অনুস্রণ করতে পারি খুব ভালো লাগবে অবশ্ই অবশ্য সবচেয়ে যেই কথে যেই নামটি উচ্চারণ করেছেন সে দাম নামটি প্রতি আবারও শ্রদ্ধা জান"&amp;"াচ্ছি উনিশ ছেকাত্তর সালে মহান মুক্তিযুদ্ধের সর্বাাধী নায়ক বাংলাস্বাধীন বাংলাদেশকে ্ান")</f>
        <v>বাঙালি জাতের উত্তরণ বাঙালি জাতের উত্তরণ হয়েছে এদের হাত ধরি সুতরাং সেটা তো একটা সত্যি ভালো লাগে এদের কথা বলতে ভাবতে আমাদের িদি এদের পথ অনুস্রণ করতে পারি খুব ভালো লাগবে অবশ্ই অবশ্য সবচেয়ে যেই কথে যেই নামটি উচ্চারণ করেছেন সে দাম নামটি প্রতি আবারও শ্রদ্ধা জানাচ্ছি উনিশ ছেকাত্তর সালে মহান মুক্তিযুদ্ধের সর্বাাধী নায়ক বাংলাস্বাধীন বাংলাদেশকে ্ান</v>
      </c>
      <c r="D25" s="2" t="str">
        <f>IFERROR(__xludf.DUMMYFUNCTION("""COMPUTED_VALUE"""),"No")</f>
        <v>No</v>
      </c>
      <c r="E25" s="2" t="str">
        <f>IFERROR(__xludf.DUMMYFUNCTION("""COMPUTED_VALUE"""),"No")</f>
        <v>No</v>
      </c>
      <c r="F25" s="2" t="str">
        <f>IFERROR(__xludf.DUMMYFUNCTION("""COMPUTED_VALUE"""),"Yes")</f>
        <v>Yes</v>
      </c>
      <c r="G25" s="2">
        <f>IFERROR(__xludf.DUMMYFUNCTION("""COMPUTED_VALUE"""),0.5)</f>
        <v>0.5</v>
      </c>
      <c r="H25" s="2">
        <f>IFERROR(__xludf.DUMMYFUNCTION("""COMPUTED_VALUE"""),0.5)</f>
        <v>0.5</v>
      </c>
      <c r="I25" s="2">
        <f>IFERROR(__xludf.DUMMYFUNCTION("""COMPUTED_VALUE"""),0.5)</f>
        <v>0.5</v>
      </c>
      <c r="J25" s="2">
        <f>IFERROR(__xludf.DUMMYFUNCTION("""COMPUTED_VALUE"""),0.0)</f>
        <v>0</v>
      </c>
      <c r="K25" s="2" t="str">
        <f>IFERROR(__xludf.DUMMYFUNCTION("""COMPUTED_VALUE"""),"5 – High-quality, Clean Bangla speech")</f>
        <v>5 – High-quality, Clean Bangla speech</v>
      </c>
      <c r="L25" s="2" t="str">
        <f>IFERROR(__xludf.DUMMYFUNCTION("""COMPUTED_VALUE"""),"No")</f>
        <v>No</v>
      </c>
    </row>
    <row r="26">
      <c r="A26" s="2" t="str">
        <f>IFERROR(__xludf.DUMMYFUNCTION("""COMPUTED_VALUE"""),"collect/spontaneous/YouTube/Chapainawabganj TV/_t1y66NXLF0/807732b1-8988-478e-bebe-6728ebac77b1.flac")</f>
        <v>collect/spontaneous/YouTube/Chapainawabganj TV/_t1y66NXLF0/807732b1-8988-478e-bebe-6728ebac77b1.flac</v>
      </c>
      <c r="B26" s="2">
        <f>IFERROR(__xludf.DUMMYFUNCTION("""COMPUTED_VALUE"""),30.0)</f>
        <v>30</v>
      </c>
      <c r="C26" s="2" t="str">
        <f>IFERROR(__xludf.DUMMYFUNCTION("""COMPUTED_VALUE"""),"কাতাকি করে ঝকঝঁকে সাতা এবং বারবার ধোয়ার পরেও এর কালার গার্ড কাপড়কে রাখি একেবারে তন লিমাজ সুপার ডিটারজেন্টের কালারগার্ড কাপড়কে করে অ্যাপ পূর্ণিমাচাদু হার মেনে যায় লিমার সুপার ডিটারজেন্ট ফাউডার দাক থাকলেও লিমার ডিটারজেন্ট পাও্ডারে ধোঁয়া কাপড়ে ক্ষণো ডাক থাকব"&amp;"ে মিশ্টি চাঁপাইনবাবগঞ্জের অহংকার নীলে সেটি অ্যান্ডফুড প্রোডাক্টের একটি পণ্য উজ্জ্বেলতায় বাংলাদেশ")</f>
        <v>কাতাকি করে ঝকঝঁকে সাতা এবং বারবার ধোয়ার পরেও এর কালার গার্ড কাপড়কে রাখি একেবারে তন লিমাজ সুপার ডিটারজেন্টের কালারগার্ড কাপড়কে করে অ্যাপ পূর্ণিমাচাদু হার মেনে যায় লিমার সুপার ডিটারজেন্ট ফাউডার দাক থাকলেও লিমার ডিটারজেন্ট পাও্ডারে ধোঁয়া কাপড়ে ক্ষণো ডাক থাকবে মিশ্টি চাঁপাইনবাবগঞ্জের অহংকার নীলে সেটি অ্যান্ডফুড প্রোডাক্টের একটি পণ্য উজ্জ্বেলতায় বাংলাদেশ</v>
      </c>
      <c r="D26" s="2" t="str">
        <f>IFERROR(__xludf.DUMMYFUNCTION("""COMPUTED_VALUE"""),"No")</f>
        <v>No</v>
      </c>
      <c r="E26" s="2" t="str">
        <f>IFERROR(__xludf.DUMMYFUNCTION("""COMPUTED_VALUE"""),"No")</f>
        <v>No</v>
      </c>
      <c r="F26" s="2" t="str">
        <f>IFERROR(__xludf.DUMMYFUNCTION("""COMPUTED_VALUE"""),"Yes")</f>
        <v>Yes</v>
      </c>
      <c r="G26" s="2">
        <f>IFERROR(__xludf.DUMMYFUNCTION("""COMPUTED_VALUE"""),0.5)</f>
        <v>0.5</v>
      </c>
      <c r="H26" s="2">
        <f>IFERROR(__xludf.DUMMYFUNCTION("""COMPUTED_VALUE"""),0.5)</f>
        <v>0.5</v>
      </c>
      <c r="I26" s="2">
        <f>IFERROR(__xludf.DUMMYFUNCTION("""COMPUTED_VALUE"""),0.5)</f>
        <v>0.5</v>
      </c>
      <c r="J26" s="2">
        <f>IFERROR(__xludf.DUMMYFUNCTION("""COMPUTED_VALUE"""),0.0)</f>
        <v>0</v>
      </c>
      <c r="K26" s="2" t="str">
        <f>IFERROR(__xludf.DUMMYFUNCTION("""COMPUTED_VALUE"""),"5 – High-quality, Clean Bangla speech")</f>
        <v>5 – High-quality, Clean Bangla speech</v>
      </c>
      <c r="L26" s="2" t="str">
        <f>IFERROR(__xludf.DUMMYFUNCTION("""COMPUTED_VALUE"""),"No")</f>
        <v>No</v>
      </c>
    </row>
    <row r="27">
      <c r="A27" s="2" t="str">
        <f>IFERROR(__xludf.DUMMYFUNCTION("""COMPUTED_VALUE"""),"collect/spontaneous/YouTube/Chapainawabganj TV/_t1y66NXLF0/80a79cf3-460c-49c1-ac60-2b8d5e46d8e2.flac")</f>
        <v>collect/spontaneous/YouTube/Chapainawabganj TV/_t1y66NXLF0/80a79cf3-460c-49c1-ac60-2b8d5e46d8e2.flac</v>
      </c>
      <c r="B27" s="2">
        <f>IFERROR(__xludf.DUMMYFUNCTION("""COMPUTED_VALUE"""),30.0)</f>
        <v>30</v>
      </c>
      <c r="C27" s="2" t="str">
        <f>IFERROR(__xludf.DUMMYFUNCTION("""COMPUTED_VALUE"""),"আদা একটি অনুরোধ করেছিলেন এটি আমি অনুরোধ নয় এটি নেপ্িশ ভেবে আমি একটি কবিতা পড়ে শোনাপছি ্টা শোনানোর চেষ্টা করছি আবৃত্তি হবে না হয়তোলটা া আপনার কথাটা বুঝতে পারলাম না দাদায়টি মুন পরায় কবিতা শুনতে চেয়েছিলেন এটি আমি আদেশ মনে করছে আমার জন্য া াা াা কবিতাটিকু পড়ে"&amp;" শোনাচ্ছি তারা আমি ে জন্যবাদ িঠন কর")</f>
        <v>আদা একটি অনুরোধ করেছিলেন এটি আমি অনুরোধ নয় এটি নেপ্িশ ভেবে আমি একটি কবিতা পড়ে শোনাপছি ্টা শোনানোর চেষ্টা করছি আবৃত্তি হবে না হয়তোলটা া আপনার কথাটা বুঝতে পারলাম না দাদায়টি মুন পরায় কবিতা শুনতে চেয়েছিলেন এটি আমি আদেশ মনে করছে আমার জন্য া াা াা কবিতাটিকু পড়ে শোনাচ্ছি তারা আমি ে জন্যবাদ িঠন কর</v>
      </c>
      <c r="D27" s="2" t="str">
        <f>IFERROR(__xludf.DUMMYFUNCTION("""COMPUTED_VALUE"""),"No")</f>
        <v>No</v>
      </c>
      <c r="E27" s="2" t="str">
        <f>IFERROR(__xludf.DUMMYFUNCTION("""COMPUTED_VALUE"""),"No")</f>
        <v>No</v>
      </c>
      <c r="F27" s="2" t="str">
        <f>IFERROR(__xludf.DUMMYFUNCTION("""COMPUTED_VALUE"""),"Yes")</f>
        <v>Yes</v>
      </c>
      <c r="G27" s="2">
        <f>IFERROR(__xludf.DUMMYFUNCTION("""COMPUTED_VALUE"""),0.5)</f>
        <v>0.5</v>
      </c>
      <c r="H27" s="2">
        <f>IFERROR(__xludf.DUMMYFUNCTION("""COMPUTED_VALUE"""),0.0)</f>
        <v>0</v>
      </c>
      <c r="I27" s="2">
        <f>IFERROR(__xludf.DUMMYFUNCTION("""COMPUTED_VALUE"""),0.5)</f>
        <v>0.5</v>
      </c>
      <c r="J27" s="2">
        <f>IFERROR(__xludf.DUMMYFUNCTION("""COMPUTED_VALUE"""),0.0)</f>
        <v>0</v>
      </c>
      <c r="K27" s="2" t="str">
        <f>IFERROR(__xludf.DUMMYFUNCTION("""COMPUTED_VALUE"""),"4– Usable, minor flaws Minor background noise.")</f>
        <v>4– Usable, minor flaws Minor background noise.</v>
      </c>
      <c r="L27" s="2" t="str">
        <f>IFERROR(__xludf.DUMMYFUNCTION("""COMPUTED_VALUE"""),"No")</f>
        <v>No</v>
      </c>
    </row>
    <row r="28">
      <c r="A28" s="2" t="str">
        <f>IFERROR(__xludf.DUMMYFUNCTION("""COMPUTED_VALUE"""),"collect/spontaneous/YouTube/Chapainawabganj TV/_t1y66NXLF0/8581bec0-9676-4d67-a318-f8526661454a.flac")</f>
        <v>collect/spontaneous/YouTube/Chapainawabganj TV/_t1y66NXLF0/8581bec0-9676-4d67-a318-f8526661454a.flac</v>
      </c>
      <c r="B28" s="2">
        <f>IFERROR(__xludf.DUMMYFUNCTION("""COMPUTED_VALUE"""),30.0)</f>
        <v>30</v>
      </c>
      <c r="C28" s="2" t="str">
        <f>IFERROR(__xludf.DUMMYFUNCTION("""COMPUTED_VALUE"""),"ফ্রেশ পাওয়ার হয়াইড ডিটার্জেন্ট পাউন্ড আপনার কাপড়্ ে এদিকে করবে সুয়াসিত আর ক্রান্টি বিশ্বস্ততার তুর্মত্র প্রয়দর্শক ফিরেলাম বিরতির পর এতক্ষিণ আমাদের সঙ্গে থাকার জন্য অসীন্দ ধন্যবাদে বৎস বছা জানাচ্ছি আমরা রয়েছে জাপানা বহরাদ্দ প্রকমর পলমসুল জাপানা পাশ টেরে সন"&amp;" ডিসটিজে আবেদন্তু দনের গল্প লান সানীভাগে আমাদের সঙগতিতি রয়েছে প্রভাবতত্ত সংগীত শিল্পি শুরকার বস্তের মতো ভালোত থেকেই বঙে আমিিক তমল মা বিভান আপনার নিখন রয়েছি")</f>
        <v>ফ্রেশ পাওয়ার হয়াইড ডিটার্জেন্ট পাউন্ড আপনার কাপড়্ ে এদিকে করবে সুয়াসিত আর ক্রান্টি বিশ্বস্ততার তুর্মত্র প্রয়দর্শক ফিরেলাম বিরতির পর এতক্ষিণ আমাদের সঙ্গে থাকার জন্য অসীন্দ ধন্যবাদে বৎস বছা জানাচ্ছি আমরা রয়েছে জাপানা বহরাদ্দ প্রকমর পলমসুল জাপানা পাশ টেরে সন ডিসটিজে আবেদন্তু দনের গল্প লান সানীভাগে আমাদের সঙগতিতি রয়েছে প্রভাবতত্ত সংগীত শিল্পি শুরকার বস্তের মতো ভালোত থেকেই বঙে আমিিক তমল মা বিভান আপনার নিখন রয়েছি</v>
      </c>
      <c r="D28" s="2" t="str">
        <f>IFERROR(__xludf.DUMMYFUNCTION("""COMPUTED_VALUE"""),"No")</f>
        <v>No</v>
      </c>
      <c r="E28" s="2" t="str">
        <f>IFERROR(__xludf.DUMMYFUNCTION("""COMPUTED_VALUE"""),"Yes")</f>
        <v>Yes</v>
      </c>
      <c r="F28" s="2" t="str">
        <f>IFERROR(__xludf.DUMMYFUNCTION("""COMPUTED_VALUE"""),"Yes")</f>
        <v>Yes</v>
      </c>
      <c r="G28" s="2">
        <f>IFERROR(__xludf.DUMMYFUNCTION("""COMPUTED_VALUE"""),0.0)</f>
        <v>0</v>
      </c>
      <c r="H28" s="2">
        <f>IFERROR(__xludf.DUMMYFUNCTION("""COMPUTED_VALUE"""),0.5)</f>
        <v>0.5</v>
      </c>
      <c r="I28" s="2">
        <f>IFERROR(__xludf.DUMMYFUNCTION("""COMPUTED_VALUE"""),0.5)</f>
        <v>0.5</v>
      </c>
      <c r="J28" s="2">
        <f>IFERROR(__xludf.DUMMYFUNCTION("""COMPUTED_VALUE"""),0.0)</f>
        <v>0</v>
      </c>
      <c r="K28" s="2" t="str">
        <f>IFERROR(__xludf.DUMMYFUNCTION("""COMPUTED_VALUE"""),"3 – Mixed language or inconsistent quality")</f>
        <v>3 – Mixed language or inconsistent quality</v>
      </c>
      <c r="L28" s="2" t="str">
        <f>IFERROR(__xludf.DUMMYFUNCTION("""COMPUTED_VALUE"""),"No")</f>
        <v>No</v>
      </c>
    </row>
    <row r="29">
      <c r="A29" s="2" t="str">
        <f>IFERROR(__xludf.DUMMYFUNCTION("""COMPUTED_VALUE"""),"collect/spontaneous/YouTube/Chapainawabganj TV/_t1y66NXLF0/86886239-c23f-4449-9442-efca39d91762.flac")</f>
        <v>collect/spontaneous/YouTube/Chapainawabganj TV/_t1y66NXLF0/86886239-c23f-4449-9442-efca39d91762.flac</v>
      </c>
      <c r="B29" s="2">
        <f>IFERROR(__xludf.DUMMYFUNCTION("""COMPUTED_VALUE"""),30.0)</f>
        <v>30</v>
      </c>
      <c r="C29" s="2" t="str">
        <f>IFERROR(__xludf.DUMMYFUNCTION("""COMPUTED_VALUE"""),"আগে পুটেছিন তনিকরি শুধু সেই হসেধী নির মালিনি কত সব মিনেইলেরো দটকারি এই কপপি খাউছে পাহাত স ন মেঘে ঢেকে যাপাাত জন নে লো গেল কত জনই হাসিবে অপি হাউজটাই শুধু থেকে যা অপিক্ষা হতে এদেছেন জাার াক াা ি নন কোথায় হারিয়ে গেল সোনালীনিকেউে কিন্দু সেই আজ আনেনি")</f>
        <v>আগে পুটেছিন তনিকরি শুধু সেই হসেধী নির মালিনি কত সব মিনেইলেরো দটকারি এই কপপি খাউছে পাহাত স ন মেঘে ঢেকে যাপাাত জন নে লো গেল কত জনই হাসিবে অপি হাউজটাই শুধু থেকে যা অপিক্ষা হতে এদেছেন জাার াক াা ি নন কোথায় হারিয়ে গেল সোনালীনিকেউে কিন্দু সেই আজ আনেনি</v>
      </c>
      <c r="D29" s="2" t="str">
        <f>IFERROR(__xludf.DUMMYFUNCTION("""COMPUTED_VALUE"""),"No")</f>
        <v>No</v>
      </c>
      <c r="E29" s="2" t="str">
        <f>IFERROR(__xludf.DUMMYFUNCTION("""COMPUTED_VALUE"""),"No")</f>
        <v>No</v>
      </c>
      <c r="F29" s="2" t="str">
        <f>IFERROR(__xludf.DUMMYFUNCTION("""COMPUTED_VALUE"""),"Yes")</f>
        <v>Yes</v>
      </c>
      <c r="G29" s="2">
        <f>IFERROR(__xludf.DUMMYFUNCTION("""COMPUTED_VALUE"""),0.0)</f>
        <v>0</v>
      </c>
      <c r="H29" s="2">
        <f>IFERROR(__xludf.DUMMYFUNCTION("""COMPUTED_VALUE"""),0.0)</f>
        <v>0</v>
      </c>
      <c r="I29" s="2">
        <f>IFERROR(__xludf.DUMMYFUNCTION("""COMPUTED_VALUE"""),0.0)</f>
        <v>0</v>
      </c>
      <c r="J29" s="2">
        <f>IFERROR(__xludf.DUMMYFUNCTION("""COMPUTED_VALUE"""),0.5)</f>
        <v>0.5</v>
      </c>
      <c r="K29" s="2" t="str">
        <f>IFERROR(__xludf.DUMMYFUNCTION("""COMPUTED_VALUE"""),"5 – High-quality, Clean Bangla speech")</f>
        <v>5 – High-quality, Clean Bangla speech</v>
      </c>
      <c r="L29" s="2" t="str">
        <f>IFERROR(__xludf.DUMMYFUNCTION("""COMPUTED_VALUE"""),"No")</f>
        <v>No</v>
      </c>
    </row>
    <row r="30">
      <c r="A30" s="2" t="str">
        <f>IFERROR(__xludf.DUMMYFUNCTION("""COMPUTED_VALUE"""),"collect/spontaneous/YouTube/Chapainawabganj TV/_t1y66NXLF0/950f054b-7686-460c-a2d3-302d1b01d4e0.flac")</f>
        <v>collect/spontaneous/YouTube/Chapainawabganj TV/_t1y66NXLF0/950f054b-7686-460c-a2d3-302d1b01d4e0.flac</v>
      </c>
      <c r="B30" s="2">
        <f>IFERROR(__xludf.DUMMYFUNCTION("""COMPUTED_VALUE"""),30.0)</f>
        <v>30</v>
      </c>
      <c r="C30" s="2" t="str">
        <f>IFERROR(__xludf.DUMMYFUNCTION("""COMPUTED_VALUE"""),"নয় ফাকুন পরানী ক্যেন ডাক বন্ধ করি যেটাকু ডাক ও কেন হুদাহনি এ খরি কেন দু চোখি স ক্নু খ ক মিনরগরি সহজহলো নয় তুনি হাঁতগুলো পারানি ক্যেন ডাকুল মুরি")</f>
        <v>নয় ফাকুন পরানী ক্যেন ডাক বন্ধ করি যেটাকু ডাক ও কেন হুদাহনি এ খরি কেন দু চোখি স ক্নু খ ক মিনরগরি সহজহলো নয় তুনি হাঁতগুলো পারানি ক্যেন ডাকুল মুরি</v>
      </c>
      <c r="D30" s="2" t="str">
        <f>IFERROR(__xludf.DUMMYFUNCTION("""COMPUTED_VALUE"""),"No")</f>
        <v>No</v>
      </c>
      <c r="E30" s="2" t="str">
        <f>IFERROR(__xludf.DUMMYFUNCTION("""COMPUTED_VALUE"""),"No")</f>
        <v>No</v>
      </c>
      <c r="F30" s="2" t="str">
        <f>IFERROR(__xludf.DUMMYFUNCTION("""COMPUTED_VALUE"""),"Yes")</f>
        <v>Yes</v>
      </c>
      <c r="G30" s="2">
        <f>IFERROR(__xludf.DUMMYFUNCTION("""COMPUTED_VALUE"""),0.0)</f>
        <v>0</v>
      </c>
      <c r="H30" s="2">
        <f>IFERROR(__xludf.DUMMYFUNCTION("""COMPUTED_VALUE"""),0.0)</f>
        <v>0</v>
      </c>
      <c r="I30" s="2">
        <f>IFERROR(__xludf.DUMMYFUNCTION("""COMPUTED_VALUE"""),0.5)</f>
        <v>0.5</v>
      </c>
      <c r="J30" s="2">
        <f>IFERROR(__xludf.DUMMYFUNCTION("""COMPUTED_VALUE"""),0.5)</f>
        <v>0.5</v>
      </c>
      <c r="K30" s="2" t="str">
        <f>IFERROR(__xludf.DUMMYFUNCTION("""COMPUTED_VALUE"""),"5 – High-quality, Clean Bangla speech")</f>
        <v>5 – High-quality, Clean Bangla speech</v>
      </c>
      <c r="L30" s="2" t="str">
        <f>IFERROR(__xludf.DUMMYFUNCTION("""COMPUTED_VALUE"""),"No")</f>
        <v>No</v>
      </c>
    </row>
    <row r="31">
      <c r="A31" s="2" t="str">
        <f>IFERROR(__xludf.DUMMYFUNCTION("""COMPUTED_VALUE"""),"collect/spontaneous/YouTube/Chapainawabganj TV/_t1y66NXLF0/97f6e2da-fa67-4149-954d-b5b5561b2d60.flac")</f>
        <v>collect/spontaneous/YouTube/Chapainawabganj TV/_t1y66NXLF0/97f6e2da-fa67-4149-954d-b5b5561b2d60.flac</v>
      </c>
      <c r="B31" s="2">
        <f>IFERROR(__xludf.DUMMYFUNCTION("""COMPUTED_VALUE"""),30.0)</f>
        <v>30</v>
      </c>
      <c r="C31" s="2" t="str">
        <f>IFERROR(__xludf.DUMMYFUNCTION("""COMPUTED_VALUE"""),"নাজের আলী আমি আর কত বড় খব আমার মাথা এই ঘরের ছাদ ফোঁনে আকাশ স্পর্শ করলে তার পর তুমি আমায় তীর প্রহরের বিল দেখাবে একটাও রয়্যেলগুলি কিনতে পারে কখনো প্ল্াটিলজেন্স দেখিয়ে দেখি চুষেছে লস্কোর বালির ছেলেরার ঘেখেরির মতোন চৌরধুরীদের গেটে দাঁড়িয়ে দেখেছি")</f>
        <v>নাজের আলী আমি আর কত বড় খব আমার মাথা এই ঘরের ছাদ ফোঁনে আকাশ স্পর্শ করলে তার পর তুমি আমায় তীর প্রহরের বিল দেখাবে একটাও রয়্যেলগুলি কিনতে পারে কখনো প্ল্াটিলজেন্স দেখিয়ে দেখি চুষেছে লস্কোর বালির ছেলেরার ঘেখেরির মতোন চৌরধুরীদের গেটে দাঁড়িয়ে দেখেছি</v>
      </c>
      <c r="D31" s="2" t="str">
        <f>IFERROR(__xludf.DUMMYFUNCTION("""COMPUTED_VALUE"""),"No")</f>
        <v>No</v>
      </c>
      <c r="E31" s="2" t="str">
        <f>IFERROR(__xludf.DUMMYFUNCTION("""COMPUTED_VALUE"""),"No")</f>
        <v>No</v>
      </c>
      <c r="F31" s="2" t="str">
        <f>IFERROR(__xludf.DUMMYFUNCTION("""COMPUTED_VALUE"""),"Yes")</f>
        <v>Yes</v>
      </c>
      <c r="G31" s="2">
        <f>IFERROR(__xludf.DUMMYFUNCTION("""COMPUTED_VALUE"""),0.5)</f>
        <v>0.5</v>
      </c>
      <c r="H31" s="2">
        <f>IFERROR(__xludf.DUMMYFUNCTION("""COMPUTED_VALUE"""),0.5)</f>
        <v>0.5</v>
      </c>
      <c r="I31" s="2">
        <f>IFERROR(__xludf.DUMMYFUNCTION("""COMPUTED_VALUE"""),0.5)</f>
        <v>0.5</v>
      </c>
      <c r="J31" s="2">
        <f>IFERROR(__xludf.DUMMYFUNCTION("""COMPUTED_VALUE"""),0.0)</f>
        <v>0</v>
      </c>
      <c r="K31" s="2" t="str">
        <f>IFERROR(__xludf.DUMMYFUNCTION("""COMPUTED_VALUE"""),"5 – High-quality, Clean Bangla speech")</f>
        <v>5 – High-quality, Clean Bangla speech</v>
      </c>
      <c r="L31" s="2" t="str">
        <f>IFERROR(__xludf.DUMMYFUNCTION("""COMPUTED_VALUE"""),"No")</f>
        <v>No</v>
      </c>
    </row>
    <row r="32">
      <c r="A32" s="2" t="str">
        <f>IFERROR(__xludf.DUMMYFUNCTION("""COMPUTED_VALUE"""),"collect/spontaneous/YouTube/Chapainawabganj TV/_t1y66NXLF0/9877bbba-dc6e-44b7-96c5-a66b4c7e0e0b.flac")</f>
        <v>collect/spontaneous/YouTube/Chapainawabganj TV/_t1y66NXLF0/9877bbba-dc6e-44b7-96c5-a66b4c7e0e0b.flac</v>
      </c>
      <c r="B32" s="2">
        <f>IFERROR(__xludf.DUMMYFUNCTION("""COMPUTED_VALUE"""),30.0)</f>
        <v>30</v>
      </c>
      <c r="C32" s="2" t="str">
        <f>IFERROR(__xludf.DUMMYFUNCTION("""COMPUTED_VALUE"""),"আছে আপনারা যদি যদি মনে কিছু রিকুয়েশ্টের কোনো গান থেকে থাকে তালে আপনারা স্থায়ী টুকুল শোনার তারপরে আমরা শেষ করে হযালো কথাটা মেটালীগ আওয়াজ হচ্ছে মানে কেটে গেটে আচ্ছে করা আছা তাদের আমি তোার ক আপনি যদি অনুরোধের কোনো গান বনাতে চান তবে আমরা স্থায়ী টুকুল শোনে আসি"&amp;" আপনার কাছ থেকে তার পর ারটি গিয়ে শোনাবেন না")</f>
        <v>আছে আপনারা যদি যদি মনে কিছু রিকুয়েশ্টের কোনো গান থেকে থাকে তালে আপনারা স্থায়ী টুকুল শোনার তারপরে আমরা শেষ করে হযালো কথাটা মেটালীগ আওয়াজ হচ্ছে মানে কেটে গেটে আচ্ছে করা আছা তাদের আমি তোার ক আপনি যদি অনুরোধের কোনো গান বনাতে চান তবে আমরা স্থায়ী টুকুল শোনে আসি আপনার কাছ থেকে তার পর ারটি গিয়ে শোনাবেন না</v>
      </c>
      <c r="D32" s="2" t="str">
        <f>IFERROR(__xludf.DUMMYFUNCTION("""COMPUTED_VALUE"""),"No")</f>
        <v>No</v>
      </c>
      <c r="E32" s="2" t="str">
        <f>IFERROR(__xludf.DUMMYFUNCTION("""COMPUTED_VALUE"""),"No")</f>
        <v>No</v>
      </c>
      <c r="F32" s="2" t="str">
        <f>IFERROR(__xludf.DUMMYFUNCTION("""COMPUTED_VALUE"""),"Yes")</f>
        <v>Yes</v>
      </c>
      <c r="G32" s="2">
        <f>IFERROR(__xludf.DUMMYFUNCTION("""COMPUTED_VALUE"""),0.5)</f>
        <v>0.5</v>
      </c>
      <c r="H32" s="2">
        <f>IFERROR(__xludf.DUMMYFUNCTION("""COMPUTED_VALUE"""),0.5)</f>
        <v>0.5</v>
      </c>
      <c r="I32" s="2">
        <f>IFERROR(__xludf.DUMMYFUNCTION("""COMPUTED_VALUE"""),0.5)</f>
        <v>0.5</v>
      </c>
      <c r="J32" s="2">
        <f>IFERROR(__xludf.DUMMYFUNCTION("""COMPUTED_VALUE"""),0.0)</f>
        <v>0</v>
      </c>
      <c r="K32" s="2" t="str">
        <f>IFERROR(__xludf.DUMMYFUNCTION("""COMPUTED_VALUE"""),"4– Usable, minor flaws Minor background noise.")</f>
        <v>4– Usable, minor flaws Minor background noise.</v>
      </c>
      <c r="L32" s="2" t="str">
        <f>IFERROR(__xludf.DUMMYFUNCTION("""COMPUTED_VALUE"""),"No")</f>
        <v>No</v>
      </c>
    </row>
    <row r="33">
      <c r="A33" s="2" t="str">
        <f>IFERROR(__xludf.DUMMYFUNCTION("""COMPUTED_VALUE"""),"collect/spontaneous/YouTube/Chapainawabganj TV/_t1y66NXLF0/9a0e473b-b014-4d87-b755-fe3865e576e4.flac")</f>
        <v>collect/spontaneous/YouTube/Chapainawabganj TV/_t1y66NXLF0/9a0e473b-b014-4d87-b755-fe3865e576e4.flac</v>
      </c>
      <c r="B33" s="2">
        <f>IFERROR(__xludf.DUMMYFUNCTION("""COMPUTED_VALUE"""),30.0)</f>
        <v>30</v>
      </c>
      <c r="C33" s="2" t="str">
        <f>IFERROR(__xludf.DUMMYFUNCTION("""COMPUTED_VALUE"""),"এটি গোস থেকে প্ার্ছে গোলাম ব্বস্থা নিয়ে আবারো লিখিদে চমৎকার লাগল গানটি খুব সুম্কর হয়েছে আমরা আর কথা বলব না চলে যাব শিল্পীর কাছে দাদা কী শুন বইে বার আপনার কাছে একটুই বান্নাদের গাওয়া একটি গান প্রভার তেষ শুরু করেছেন লিখেছেন প্লব বন্দু অধ্যায় আমি গানটা শোনাই "&amp;"আচ্েশনে শেশনে আসি")</f>
        <v>এটি গোস থেকে প্ার্ছে গোলাম ব্বস্থা নিয়ে আবারো লিখিদে চমৎকার লাগল গানটি খুব সুম্কর হয়েছে আমরা আর কথা বলব না চলে যাব শিল্পীর কাছে দাদা কী শুন বইে বার আপনার কাছে একটুই বান্নাদের গাওয়া একটি গান প্রভার তেষ শুরু করেছেন লিখেছেন প্লব বন্দু অধ্যায় আমি গানটা শোনাই আচ্েশনে শেশনে আসি</v>
      </c>
      <c r="D33" s="2" t="str">
        <f>IFERROR(__xludf.DUMMYFUNCTION("""COMPUTED_VALUE"""),"No")</f>
        <v>No</v>
      </c>
      <c r="E33" s="2" t="str">
        <f>IFERROR(__xludf.DUMMYFUNCTION("""COMPUTED_VALUE"""),"Yes")</f>
        <v>Yes</v>
      </c>
      <c r="F33" s="2" t="str">
        <f>IFERROR(__xludf.DUMMYFUNCTION("""COMPUTED_VALUE"""),"Yes")</f>
        <v>Yes</v>
      </c>
      <c r="G33" s="2">
        <f>IFERROR(__xludf.DUMMYFUNCTION("""COMPUTED_VALUE"""),0.5)</f>
        <v>0.5</v>
      </c>
      <c r="H33" s="2">
        <f>IFERROR(__xludf.DUMMYFUNCTION("""COMPUTED_VALUE"""),0.5)</f>
        <v>0.5</v>
      </c>
      <c r="I33" s="2">
        <f>IFERROR(__xludf.DUMMYFUNCTION("""COMPUTED_VALUE"""),0.5)</f>
        <v>0.5</v>
      </c>
      <c r="J33" s="2">
        <f>IFERROR(__xludf.DUMMYFUNCTION("""COMPUTED_VALUE"""),0.0)</f>
        <v>0</v>
      </c>
      <c r="K33" s="2" t="str">
        <f>IFERROR(__xludf.DUMMYFUNCTION("""COMPUTED_VALUE"""),"5 – High-quality, Clean Bangla speech")</f>
        <v>5 – High-quality, Clean Bangla speech</v>
      </c>
      <c r="L33" s="2" t="str">
        <f>IFERROR(__xludf.DUMMYFUNCTION("""COMPUTED_VALUE"""),"No")</f>
        <v>No</v>
      </c>
    </row>
    <row r="34">
      <c r="A34" s="2" t="str">
        <f>IFERROR(__xludf.DUMMYFUNCTION("""COMPUTED_VALUE"""),"collect/spontaneous/YouTube/Chapainawabganj TV/_t1y66NXLF0/9b59f2d6-fcac-42c5-8aa8-17abcc28e921.flac")</f>
        <v>collect/spontaneous/YouTube/Chapainawabganj TV/_t1y66NXLF0/9b59f2d6-fcac-42c5-8aa8-17abcc28e921.flac</v>
      </c>
      <c r="B34" s="2">
        <f>IFERROR(__xludf.DUMMYFUNCTION("""COMPUTED_VALUE"""),30.0)</f>
        <v>30</v>
      </c>
      <c r="C34" s="2" t="str">
        <f>IFERROR(__xludf.DUMMYFUNCTION("""COMPUTED_VALUE"""),"তে চায় দাদা সুম্যের কথাগুলো আচ্ছে মনোয়ারা ফয়েজ লিখেছেন ঢাকা থেকে কারণো লাগছে শিল্প আর ইভা ার ধন্যবাদ দুজনটি ঢাকায় থেকে ভনোয়ারাফ হয় যে কথাগুলো লিখেছেন আমরা চলে যাব আবার আবার শিল্পীর কাছে তার আগে আমি আরেকটু মতোভত নিয়ে আসছি আচছা সুবাসী চ্যাটার্চি লিখেছেন যে "&amp;"তোমার হাত ধরেই আমিও পৌঁছে গেলাম অসংখ্য মানুষের কাছে আচ্ছা সবাইকে অসংখ্য ধন্যবদ পারলে ও চড়ার কবিতায় ম শুরু করেছি আন")</f>
        <v>তে চায় দাদা সুম্যের কথাগুলো আচ্ছে মনোয়ারা ফয়েজ লিখেছেন ঢাকা থেকে কারণো লাগছে শিল্প আর ইভা ার ধন্যবাদ দুজনটি ঢাকায় থেকে ভনোয়ারাফ হয় যে কথাগুলো লিখেছেন আমরা চলে যাব আবার আবার শিল্পীর কাছে তার আগে আমি আরেকটু মতোভত নিয়ে আসছি আচছা সুবাসী চ্যাটার্চি লিখেছেন যে তোমার হাত ধরেই আমিও পৌঁছে গেলাম অসংখ্য মানুষের কাছে আচ্ছা সবাইকে অসংখ্য ধন্যবদ পারলে ও চড়ার কবিতায় ম শুরু করেছি আন</v>
      </c>
      <c r="D34" s="2" t="str">
        <f>IFERROR(__xludf.DUMMYFUNCTION("""COMPUTED_VALUE"""),"No")</f>
        <v>No</v>
      </c>
      <c r="E34" s="2" t="str">
        <f>IFERROR(__xludf.DUMMYFUNCTION("""COMPUTED_VALUE"""),"No")</f>
        <v>No</v>
      </c>
      <c r="F34" s="2" t="str">
        <f>IFERROR(__xludf.DUMMYFUNCTION("""COMPUTED_VALUE"""),"Yes")</f>
        <v>Yes</v>
      </c>
      <c r="G34" s="2">
        <f>IFERROR(__xludf.DUMMYFUNCTION("""COMPUTED_VALUE"""),0.5)</f>
        <v>0.5</v>
      </c>
      <c r="H34" s="2">
        <f>IFERROR(__xludf.DUMMYFUNCTION("""COMPUTED_VALUE"""),0.5)</f>
        <v>0.5</v>
      </c>
      <c r="I34" s="2">
        <f>IFERROR(__xludf.DUMMYFUNCTION("""COMPUTED_VALUE"""),0.5)</f>
        <v>0.5</v>
      </c>
      <c r="J34" s="2">
        <f>IFERROR(__xludf.DUMMYFUNCTION("""COMPUTED_VALUE"""),0.0)</f>
        <v>0</v>
      </c>
      <c r="K34" s="2" t="str">
        <f>IFERROR(__xludf.DUMMYFUNCTION("""COMPUTED_VALUE"""),"4– Usable, minor flaws Minor background noise.")</f>
        <v>4– Usable, minor flaws Minor background noise.</v>
      </c>
      <c r="L34" s="2" t="str">
        <f>IFERROR(__xludf.DUMMYFUNCTION("""COMPUTED_VALUE"""),"No")</f>
        <v>No</v>
      </c>
    </row>
    <row r="35">
      <c r="A35" s="2" t="str">
        <f>IFERROR(__xludf.DUMMYFUNCTION("""COMPUTED_VALUE"""),"collect/spontaneous/YouTube/Chapainawabganj TV/_t1y66NXLF0/9e14be88-c920-48ad-91ba-a871a7ac8c34.flac")</f>
        <v>collect/spontaneous/YouTube/Chapainawabganj TV/_t1y66NXLF0/9e14be88-c920-48ad-91ba-a871a7ac8c34.flac</v>
      </c>
      <c r="B35" s="2">
        <f>IFERROR(__xludf.DUMMYFUNCTION("""COMPUTED_VALUE"""),30.0)</f>
        <v>30</v>
      </c>
      <c r="C35" s="2" t="str">
        <f>IFERROR(__xludf.DUMMYFUNCTION("""COMPUTED_VALUE"""),"মতমত রয়েছে আমি পড়ে শোনাচ্ছি অবশ্যই শুনবেন আপনি প্রদীপ দাস আবারও লিখেছেন যে তোমার একটা গান শুরু করেছিল কথাটা মনে পড়ছে হয় যেটা তোমার মেয়েও তোমার সাথে গেয়েছিল সম্ভব হলে একটু সোনালে খসিল হতাম গানটা মাছা হাওটা উচয় কবি সোয়াশেষ চেযারা্জি উনি লিখেছিলেন আমি শুরু ক"&amp;"রেছিলাম হ্য ঠিকিয়ে সামনে")</f>
        <v>মতমত রয়েছে আমি পড়ে শোনাচ্ছি অবশ্যই শুনবেন আপনি প্রদীপ দাস আবারও লিখেছেন যে তোমার একটা গান শুরু করেছিল কথাটা মনে পড়ছে হয় যেটা তোমার মেয়েও তোমার সাথে গেয়েছিল সম্ভব হলে একটু সোনালে খসিল হতাম গানটা মাছা হাওটা উচয় কবি সোয়াশেষ চেযারা্জি উনি লিখেছিলেন আমি শুরু করেছিলাম হ্য ঠিকিয়ে সামনে</v>
      </c>
      <c r="D35" s="2" t="str">
        <f>IFERROR(__xludf.DUMMYFUNCTION("""COMPUTED_VALUE"""),"No")</f>
        <v>No</v>
      </c>
      <c r="E35" s="2" t="str">
        <f>IFERROR(__xludf.DUMMYFUNCTION("""COMPUTED_VALUE"""),"No")</f>
        <v>No</v>
      </c>
      <c r="F35" s="2" t="str">
        <f>IFERROR(__xludf.DUMMYFUNCTION("""COMPUTED_VALUE"""),"Yes")</f>
        <v>Yes</v>
      </c>
      <c r="G35" s="2">
        <f>IFERROR(__xludf.DUMMYFUNCTION("""COMPUTED_VALUE"""),0.5)</f>
        <v>0.5</v>
      </c>
      <c r="H35" s="2">
        <f>IFERROR(__xludf.DUMMYFUNCTION("""COMPUTED_VALUE"""),0.5)</f>
        <v>0.5</v>
      </c>
      <c r="I35" s="2">
        <f>IFERROR(__xludf.DUMMYFUNCTION("""COMPUTED_VALUE"""),0.5)</f>
        <v>0.5</v>
      </c>
      <c r="J35" s="2">
        <f>IFERROR(__xludf.DUMMYFUNCTION("""COMPUTED_VALUE"""),0.0)</f>
        <v>0</v>
      </c>
      <c r="K35" s="2" t="str">
        <f>IFERROR(__xludf.DUMMYFUNCTION("""COMPUTED_VALUE"""),"4– Usable, minor flaws Minor background noise.")</f>
        <v>4– Usable, minor flaws Minor background noise.</v>
      </c>
      <c r="L35" s="2" t="str">
        <f>IFERROR(__xludf.DUMMYFUNCTION("""COMPUTED_VALUE"""),"No")</f>
        <v>No</v>
      </c>
    </row>
    <row r="36">
      <c r="A36" s="2" t="str">
        <f>IFERROR(__xludf.DUMMYFUNCTION("""COMPUTED_VALUE"""),"collect/spontaneous/YouTube/Chapainawabganj TV/_t1y66NXLF0/a410979f-be0d-4139-bebf-e894f2593906.flac")</f>
        <v>collect/spontaneous/YouTube/Chapainawabganj TV/_t1y66NXLF0/a410979f-be0d-4139-bebf-e894f2593906.flac</v>
      </c>
      <c r="B36" s="2">
        <f>IFERROR(__xludf.DUMMYFUNCTION("""COMPUTED_VALUE"""),30.0)</f>
        <v>30</v>
      </c>
      <c r="C36" s="2" t="str">
        <f>IFERROR(__xludf.DUMMYFUNCTION("""COMPUTED_VALUE"""),"উনি খুব ভালো মানুষ নিও খুব গানভাগনার পছন্দ করেন আনার জন্য আমারা আন্তরিক শুভেচ্ছা রইল আচ্ছে দাদা আজিএকটা একএকটা একএকটাও আপনাকে একটা অনুরোধ করছি আমার আপনাকে কিন্তু এরকম ছাড়াই যাবে না আপনি আমাকে একটি অনুরোধ আপনার কাছে অন্তত রবীন্দ্রনাথের বাঁশি অথবা শুনেন গঙ্"&amp;"গপাধ্যায়ের")</f>
        <v>উনি খুব ভালো মানুষ নিও খুব গানভাগনার পছন্দ করেন আনার জন্য আমারা আন্তরিক শুভেচ্ছা রইল আচ্ছে দাদা আজিএকটা একএকটা একএকটাও আপনাকে একটা অনুরোধ করছি আমার আপনাকে কিন্তু এরকম ছাড়াই যাবে না আপনি আমাকে একটি অনুরোধ আপনার কাছে অন্তত রবীন্দ্রনাথের বাঁশি অথবা শুনেন গঙ্গপাধ্যায়ের</v>
      </c>
      <c r="D36" s="2" t="str">
        <f>IFERROR(__xludf.DUMMYFUNCTION("""COMPUTED_VALUE"""),"No")</f>
        <v>No</v>
      </c>
      <c r="E36" s="2" t="str">
        <f>IFERROR(__xludf.DUMMYFUNCTION("""COMPUTED_VALUE"""),"No")</f>
        <v>No</v>
      </c>
      <c r="F36" s="2" t="str">
        <f>IFERROR(__xludf.DUMMYFUNCTION("""COMPUTED_VALUE"""),"Yes")</f>
        <v>Yes</v>
      </c>
      <c r="G36" s="2">
        <f>IFERROR(__xludf.DUMMYFUNCTION("""COMPUTED_VALUE"""),0.5)</f>
        <v>0.5</v>
      </c>
      <c r="H36" s="2">
        <f>IFERROR(__xludf.DUMMYFUNCTION("""COMPUTED_VALUE"""),0.5)</f>
        <v>0.5</v>
      </c>
      <c r="I36" s="2">
        <f>IFERROR(__xludf.DUMMYFUNCTION("""COMPUTED_VALUE"""),0.5)</f>
        <v>0.5</v>
      </c>
      <c r="J36" s="2">
        <f>IFERROR(__xludf.DUMMYFUNCTION("""COMPUTED_VALUE"""),0.0)</f>
        <v>0</v>
      </c>
      <c r="K36" s="2" t="str">
        <f>IFERROR(__xludf.DUMMYFUNCTION("""COMPUTED_VALUE"""),"4– Usable, minor flaws Minor background noise.")</f>
        <v>4– Usable, minor flaws Minor background noise.</v>
      </c>
      <c r="L36" s="2" t="str">
        <f>IFERROR(__xludf.DUMMYFUNCTION("""COMPUTED_VALUE"""),"No")</f>
        <v>No</v>
      </c>
    </row>
    <row r="37">
      <c r="A37" s="2" t="str">
        <f>IFERROR(__xludf.DUMMYFUNCTION("""COMPUTED_VALUE"""),"collect/spontaneous/YouTube/Chapainawabganj TV/_t1y66NXLF0/a6ce80e5-8366-4f20-a78c-4d5658502389.flac")</f>
        <v>collect/spontaneous/YouTube/Chapainawabganj TV/_t1y66NXLF0/a6ce80e5-8366-4f20-a78c-4d5658502389.flac</v>
      </c>
      <c r="B37" s="2">
        <f>IFERROR(__xludf.DUMMYFUNCTION("""COMPUTED_VALUE"""),30.0)</f>
        <v>30</v>
      </c>
      <c r="C37" s="2" t="str">
        <f>IFERROR(__xludf.DUMMYFUNCTION("""COMPUTED_VALUE"""),"শুধু কথা বলেই যাচ্ছি পেছন থেকে তিনি কাজ করে যাচ্ছে তিনি আর কেউ নন আবদুল রব নাহে তিনি বাংলাদেশে রেটি টেলিভিশনে কাজ করেন সংবাদ করবে তার প্রতি অনেক শুভেচ্ছা এবং শুভ কামল্লা থাকলো চাপে নাউবয়াস টিভি যেন আরও সামনের দিকে এগিয়ে যায় ডাক প্র চেষ্টায় ুপ্রত্যাশী আমি "&amp;"তাদের কাছে চলে যাব তারা কি শোনব ফ্যান্ট অব করিসিনেমা আমিএকটা অনা")</f>
        <v>শুধু কথা বলেই যাচ্ছি পেছন থেকে তিনি কাজ করে যাচ্ছে তিনি আর কেউ নন আবদুল রব নাহে তিনি বাংলাদেশে রেটি টেলিভিশনে কাজ করেন সংবাদ করবে তার প্রতি অনেক শুভেচ্ছা এবং শুভ কামল্লা থাকলো চাপে নাউবয়াস টিভি যেন আরও সামনের দিকে এগিয়ে যায় ডাক প্র চেষ্টায় ুপ্রত্যাশী আমি তাদের কাছে চলে যাব তারা কি শোনব ফ্যান্ট অব করিসিনেমা আমিএকটা অনা</v>
      </c>
      <c r="D37" s="2" t="str">
        <f>IFERROR(__xludf.DUMMYFUNCTION("""COMPUTED_VALUE"""),"No")</f>
        <v>No</v>
      </c>
      <c r="E37" s="2" t="str">
        <f>IFERROR(__xludf.DUMMYFUNCTION("""COMPUTED_VALUE"""),"No")</f>
        <v>No</v>
      </c>
      <c r="F37" s="2" t="str">
        <f>IFERROR(__xludf.DUMMYFUNCTION("""COMPUTED_VALUE"""),"Yes")</f>
        <v>Yes</v>
      </c>
      <c r="G37" s="2">
        <f>IFERROR(__xludf.DUMMYFUNCTION("""COMPUTED_VALUE"""),0.5)</f>
        <v>0.5</v>
      </c>
      <c r="H37" s="2">
        <f>IFERROR(__xludf.DUMMYFUNCTION("""COMPUTED_VALUE"""),0.5)</f>
        <v>0.5</v>
      </c>
      <c r="I37" s="2">
        <f>IFERROR(__xludf.DUMMYFUNCTION("""COMPUTED_VALUE"""),0.5)</f>
        <v>0.5</v>
      </c>
      <c r="J37" s="2">
        <f>IFERROR(__xludf.DUMMYFUNCTION("""COMPUTED_VALUE"""),0.0)</f>
        <v>0</v>
      </c>
      <c r="K37" s="2" t="str">
        <f>IFERROR(__xludf.DUMMYFUNCTION("""COMPUTED_VALUE"""),"5 – High-quality, Clean Bangla speech")</f>
        <v>5 – High-quality, Clean Bangla speech</v>
      </c>
      <c r="L37" s="2" t="str">
        <f>IFERROR(__xludf.DUMMYFUNCTION("""COMPUTED_VALUE"""),"No")</f>
        <v>No</v>
      </c>
    </row>
    <row r="38">
      <c r="A38" s="2" t="str">
        <f>IFERROR(__xludf.DUMMYFUNCTION("""COMPUTED_VALUE"""),"collect/spontaneous/YouTube/Chapainawabganj TV/_t1y66NXLF0/a92ce06b-66a1-4ad4-bb99-d4e8c64b93d9.flac")</f>
        <v>collect/spontaneous/YouTube/Chapainawabganj TV/_t1y66NXLF0/a92ce06b-66a1-4ad4-bb99-d4e8c64b93d9.flac</v>
      </c>
      <c r="B38" s="2">
        <f>IFERROR(__xludf.DUMMYFUNCTION("""COMPUTED_VALUE"""),30.0)</f>
        <v>30</v>
      </c>
      <c r="C38" s="2" t="str">
        <f>IFERROR(__xludf.DUMMYFUNCTION("""COMPUTED_VALUE"""),"ে দিয়েছিল সম্ভব হলে একটু সোনালে খুশিকতাম মামার লাভলু লিখেছেন নাইস আব্দুরশিদ লিখেছেন ললিতাগো গানটি শুনতে চেয়েছিলাম ক্রিয় দর্শক আমরা আবারও চলে যাব শিল্পীর কাছে আমাদের সঙ্গে আজকে অতিথি রয়েছে কোনো তথ্য সংগীতশিল্পী এবং র সুরকার পশ্চিমবঙ্গ ভারত থেকে আমি দুেকটি "&amp;"আজকের অতীথির জন্য একটি গুরুত্বপূর্ণ")</f>
        <v>ে দিয়েছিল সম্ভব হলে একটু সোনালে খুশিকতাম মামার লাভলু লিখেছেন নাইস আব্দুরশিদ লিখেছেন ললিতাগো গানটি শুনতে চেয়েছিলাম ক্রিয় দর্শক আমরা আবারও চলে যাব শিল্পীর কাছে আমাদের সঙ্গে আজকে অতিথি রয়েছে কোনো তথ্য সংগীতশিল্পী এবং র সুরকার পশ্চিমবঙ্গ ভারত থেকে আমি দুেকটি আজকের অতীথির জন্য একটি গুরুত্বপূর্ণ</v>
      </c>
      <c r="D38" s="2" t="str">
        <f>IFERROR(__xludf.DUMMYFUNCTION("""COMPUTED_VALUE"""),"No")</f>
        <v>No</v>
      </c>
      <c r="E38" s="2" t="str">
        <f>IFERROR(__xludf.DUMMYFUNCTION("""COMPUTED_VALUE"""),"No")</f>
        <v>No</v>
      </c>
      <c r="F38" s="2" t="str">
        <f>IFERROR(__xludf.DUMMYFUNCTION("""COMPUTED_VALUE"""),"Yes")</f>
        <v>Yes</v>
      </c>
      <c r="G38" s="2">
        <f>IFERROR(__xludf.DUMMYFUNCTION("""COMPUTED_VALUE"""),0.5)</f>
        <v>0.5</v>
      </c>
      <c r="H38" s="2">
        <f>IFERROR(__xludf.DUMMYFUNCTION("""COMPUTED_VALUE"""),0.5)</f>
        <v>0.5</v>
      </c>
      <c r="I38" s="2">
        <f>IFERROR(__xludf.DUMMYFUNCTION("""COMPUTED_VALUE"""),0.5)</f>
        <v>0.5</v>
      </c>
      <c r="J38" s="2">
        <f>IFERROR(__xludf.DUMMYFUNCTION("""COMPUTED_VALUE"""),0.0)</f>
        <v>0</v>
      </c>
      <c r="K38" s="2" t="str">
        <f>IFERROR(__xludf.DUMMYFUNCTION("""COMPUTED_VALUE"""),"5 – High-quality, Clean Bangla speech")</f>
        <v>5 – High-quality, Clean Bangla speech</v>
      </c>
      <c r="L38" s="2" t="str">
        <f>IFERROR(__xludf.DUMMYFUNCTION("""COMPUTED_VALUE"""),"No")</f>
        <v>No</v>
      </c>
    </row>
    <row r="39">
      <c r="A39" s="2" t="str">
        <f>IFERROR(__xludf.DUMMYFUNCTION("""COMPUTED_VALUE"""),"collect/spontaneous/YouTube/Chapainawabganj TV/_t1y66NXLF0/b41ee92b-0fdf-43b2-b6a8-65c792772a78.flac")</f>
        <v>collect/spontaneous/YouTube/Chapainawabganj TV/_t1y66NXLF0/b41ee92b-0fdf-43b2-b6a8-65c792772a78.flac</v>
      </c>
      <c r="B39" s="2">
        <f>IFERROR(__xludf.DUMMYFUNCTION("""COMPUTED_VALUE"""),30.0)</f>
        <v>30</v>
      </c>
      <c r="C39" s="2" t="str">
        <f>IFERROR(__xludf.DUMMYFUNCTION("""COMPUTED_VALUE"""),"লাগে ই ফালো খুশি তেমো মাঠে নদী রে বকে বই ভেড়ে ভিজোয়ার নয় তো ঘটায় সে নদী রে বুকে বইড় ভে বিসেওয়ার নয় তো খটা সে")</f>
        <v>লাগে ই ফালো খুশি তেমো মাঠে নদী রে বকে বই ভেড়ে ভিজোয়ার নয় তো ঘটায় সে নদী রে বুকে বইড় ভে বিসেওয়ার নয় তো খটা সে</v>
      </c>
      <c r="D39" s="2" t="str">
        <f>IFERROR(__xludf.DUMMYFUNCTION("""COMPUTED_VALUE"""),"No")</f>
        <v>No</v>
      </c>
      <c r="E39" s="2" t="str">
        <f>IFERROR(__xludf.DUMMYFUNCTION("""COMPUTED_VALUE"""),"No")</f>
        <v>No</v>
      </c>
      <c r="F39" s="2" t="str">
        <f>IFERROR(__xludf.DUMMYFUNCTION("""COMPUTED_VALUE"""),"Yes")</f>
        <v>Yes</v>
      </c>
      <c r="G39" s="2">
        <f>IFERROR(__xludf.DUMMYFUNCTION("""COMPUTED_VALUE"""),0.0)</f>
        <v>0</v>
      </c>
      <c r="H39" s="2">
        <f>IFERROR(__xludf.DUMMYFUNCTION("""COMPUTED_VALUE"""),0.0)</f>
        <v>0</v>
      </c>
      <c r="I39" s="2">
        <f>IFERROR(__xludf.DUMMYFUNCTION("""COMPUTED_VALUE"""),0.5)</f>
        <v>0.5</v>
      </c>
      <c r="J39" s="2">
        <f>IFERROR(__xludf.DUMMYFUNCTION("""COMPUTED_VALUE"""),0.5)</f>
        <v>0.5</v>
      </c>
      <c r="K39" s="2" t="str">
        <f>IFERROR(__xludf.DUMMYFUNCTION("""COMPUTED_VALUE"""),"5 – High-quality, Clean Bangla speech")</f>
        <v>5 – High-quality, Clean Bangla speech</v>
      </c>
      <c r="L39" s="2"/>
    </row>
    <row r="40">
      <c r="A40" s="2" t="str">
        <f>IFERROR(__xludf.DUMMYFUNCTION("""COMPUTED_VALUE"""),"collect/spontaneous/YouTube/Chapainawabganj TV/_t1y66NXLF0/b44ccb9f-553b-4c88-9233-323726b395dd.flac")</f>
        <v>collect/spontaneous/YouTube/Chapainawabganj TV/_t1y66NXLF0/b44ccb9f-553b-4c88-9233-323726b395dd.flac</v>
      </c>
      <c r="B40" s="2">
        <f>IFERROR(__xludf.DUMMYFUNCTION("""COMPUTED_VALUE"""),30.0)</f>
        <v>30</v>
      </c>
      <c r="C40" s="2" t="str">
        <f>IFERROR(__xludf.DUMMYFUNCTION("""COMPUTED_VALUE"""),"মরা কি যে বলি দাতা এই যে অসাধারণ সুরু আপনি নিজে শুর্করা গান নদি আমাদেরকে মুগ্ধ করলেন আবারও কি যে অসাধারণ শুুর এই যে আপনি আমি এখন ভাবতেই পারছি না যে এত সুন্দর কারো কি এত সুন্দর সুর করেন তিনি হুআহ কি চমৎকার তাদের তার সুরীর লহরা কিছন")</f>
        <v>মরা কি যে বলি দাতা এই যে অসাধারণ সুরু আপনি নিজে শুর্করা গান নদি আমাদেরকে মুগ্ধ করলেন আবারও কি যে অসাধারণ শুুর এই যে আপনি আমি এখন ভাবতেই পারছি না যে এত সুন্দর কারো কি এত সুন্দর সুর করেন তিনি হুআহ কি চমৎকার তাদের তার সুরীর লহরা কিছন</v>
      </c>
      <c r="D40" s="2" t="str">
        <f>IFERROR(__xludf.DUMMYFUNCTION("""COMPUTED_VALUE"""),"No")</f>
        <v>No</v>
      </c>
      <c r="E40" s="2" t="str">
        <f>IFERROR(__xludf.DUMMYFUNCTION("""COMPUTED_VALUE"""),"No")</f>
        <v>No</v>
      </c>
      <c r="F40" s="2" t="str">
        <f>IFERROR(__xludf.DUMMYFUNCTION("""COMPUTED_VALUE"""),"Yes")</f>
        <v>Yes</v>
      </c>
      <c r="G40" s="2">
        <f>IFERROR(__xludf.DUMMYFUNCTION("""COMPUTED_VALUE"""),0.5)</f>
        <v>0.5</v>
      </c>
      <c r="H40" s="2">
        <f>IFERROR(__xludf.DUMMYFUNCTION("""COMPUTED_VALUE"""),0.5)</f>
        <v>0.5</v>
      </c>
      <c r="I40" s="2">
        <f>IFERROR(__xludf.DUMMYFUNCTION("""COMPUTED_VALUE"""),0.5)</f>
        <v>0.5</v>
      </c>
      <c r="J40" s="2">
        <f>IFERROR(__xludf.DUMMYFUNCTION("""COMPUTED_VALUE"""),0.0)</f>
        <v>0</v>
      </c>
      <c r="K40" s="2" t="str">
        <f>IFERROR(__xludf.DUMMYFUNCTION("""COMPUTED_VALUE"""),"5 – High-quality, Clean Bangla speech")</f>
        <v>5 – High-quality, Clean Bangla speech</v>
      </c>
      <c r="L40" s="2" t="str">
        <f>IFERROR(__xludf.DUMMYFUNCTION("""COMPUTED_VALUE"""),"No")</f>
        <v>No</v>
      </c>
    </row>
    <row r="41">
      <c r="A41" s="2" t="str">
        <f>IFERROR(__xludf.DUMMYFUNCTION("""COMPUTED_VALUE"""),"collect/spontaneous/YouTube/Chapainawabganj TV/_t1y66NXLF0/df27852d-ef9b-418e-8b1d-0045e795c4b3.flac")</f>
        <v>collect/spontaneous/YouTube/Chapainawabganj TV/_t1y66NXLF0/df27852d-ef9b-418e-8b1d-0045e795c4b3.flac</v>
      </c>
      <c r="B41" s="2">
        <f>IFERROR(__xludf.DUMMYFUNCTION("""COMPUTED_VALUE"""),30.0)</f>
        <v>30</v>
      </c>
      <c r="C41" s="2" t="str">
        <f>IFERROR(__xludf.DUMMYFUNCTION("""COMPUTED_VALUE"""),"আবৃক্ত পাবে না আমি একটু পড়ে শোনাচ্ছি নেইজগুণে ক্ষমা করে দেবেন যদি ভুল হয়ে যায় কোথাও আচ্ছা কেউ কথা রাখেনি সোনি নঙ্গোপাধ্যায় কেউ কথা রাখেনি তেত্রিশ বছর কাটল কেউ কথা রাখেনি ছেলেবেলায় এক বোস্টম তার আগমনী গান হঠাৎ থামিয়ে এ বলেছিল শুটলো দ্বাদর্শের দিন অন্তরাটুক"&amp;"ু")</f>
        <v>আবৃক্ত পাবে না আমি একটু পড়ে শোনাচ্ছি নেইজগুণে ক্ষমা করে দেবেন যদি ভুল হয়ে যায় কোথাও আচ্ছা কেউ কথা রাখেনি সোনি নঙ্গোপাধ্যায় কেউ কথা রাখেনি তেত্রিশ বছর কাটল কেউ কথা রাখেনি ছেলেবেলায় এক বোস্টম তার আগমনী গান হঠাৎ থামিয়ে এ বলেছিল শুটলো দ্বাদর্শের দিন অন্তরাটুকু</v>
      </c>
      <c r="D41" s="2" t="str">
        <f>IFERROR(__xludf.DUMMYFUNCTION("""COMPUTED_VALUE"""),"No")</f>
        <v>No</v>
      </c>
      <c r="E41" s="2" t="str">
        <f>IFERROR(__xludf.DUMMYFUNCTION("""COMPUTED_VALUE"""),"No")</f>
        <v>No</v>
      </c>
      <c r="F41" s="2" t="str">
        <f>IFERROR(__xludf.DUMMYFUNCTION("""COMPUTED_VALUE"""),"Yes")</f>
        <v>Yes</v>
      </c>
      <c r="G41" s="2">
        <f>IFERROR(__xludf.DUMMYFUNCTION("""COMPUTED_VALUE"""),0.5)</f>
        <v>0.5</v>
      </c>
      <c r="H41" s="2">
        <f>IFERROR(__xludf.DUMMYFUNCTION("""COMPUTED_VALUE"""),0.5)</f>
        <v>0.5</v>
      </c>
      <c r="I41" s="2">
        <f>IFERROR(__xludf.DUMMYFUNCTION("""COMPUTED_VALUE"""),0.5)</f>
        <v>0.5</v>
      </c>
      <c r="J41" s="2">
        <f>IFERROR(__xludf.DUMMYFUNCTION("""COMPUTED_VALUE"""),0.5)</f>
        <v>0.5</v>
      </c>
      <c r="K41" s="2" t="str">
        <f>IFERROR(__xludf.DUMMYFUNCTION("""COMPUTED_VALUE"""),"5 – High-quality, Clean Bangla speech")</f>
        <v>5 – High-quality, Clean Bangla speech</v>
      </c>
      <c r="L41" s="2" t="str">
        <f>IFERROR(__xludf.DUMMYFUNCTION("""COMPUTED_VALUE"""),"No")</f>
        <v>No</v>
      </c>
    </row>
    <row r="42">
      <c r="A42" s="2"/>
      <c r="B42" s="2"/>
      <c r="C42" s="2"/>
      <c r="D42" s="2"/>
      <c r="E42" s="2"/>
      <c r="F42" s="2"/>
      <c r="G42" s="2"/>
      <c r="H42" s="2"/>
      <c r="I42" s="2"/>
      <c r="J42" s="2"/>
      <c r="K42" s="2"/>
      <c r="L42" s="2"/>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row r="1000">
      <c r="A1000" s="2"/>
      <c r="B1000" s="2"/>
      <c r="C1000" s="2"/>
      <c r="D1000" s="2"/>
      <c r="E1000" s="2"/>
      <c r="F1000" s="2"/>
      <c r="G1000" s="2"/>
      <c r="H1000" s="2"/>
      <c r="I1000" s="2"/>
      <c r="J1000" s="2"/>
      <c r="K1000" s="2"/>
      <c r="L1000"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s>
  <sheetData>
    <row r="1">
      <c r="A1" s="2" t="str">
        <f>IFERROR(__xludf.DUMMYFUNCTION("IMPORTRANGE(""https://docs.google.com/spreadsheets/d/1sNsvTEjhFAxLcwsjZ1J7CaU0DXftbwyAHeDmpZqDOAI/edit?gid=1682353242#gid=1682353242"", ""Data!A:L"")"),"Filename")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IFERROR(__xludf.DUMMYFUNCTION("""COMPUTED_VALUE"""),"collect\spontaneous\Facebook\BangladeshBetarNews\0019aa7e-c38c-455e-8211-709fb107b0c8.flac")</f>
        <v>collect\spontaneous\Facebook\BangladeshBetarNews\0019aa7e-c38c-455e-8211-709fb107b0c8.flac</v>
      </c>
      <c r="B2" s="2">
        <f>IFERROR(__xludf.DUMMYFUNCTION("""COMPUTED_VALUE"""),15.0)</f>
        <v>15</v>
      </c>
      <c r="C2" s="2" t="str">
        <f>IFERROR(__xludf.DUMMYFUNCTION("""COMPUTED_VALUE"""),"প্রধানমন্ত্রীশেখ হাসিনার সঙ্গে সংযুক্ত আরব আমিরাতের শিল্প প্রযুক্তিমন্ত্রী সাক্ষাৎ, বাংলাদেশের জ্বালানি খাতে বিনিয়োগে আগ্রহী ইএইউশিক্ষার্থীদের সুপ্ত প্রতিভা বিকাশে, পাঠ্যক্রম বহির্ভূত, ")</f>
        <v>প্রধানমন্ত্রীশেখ হাসিনার সঙ্গে সংযুক্ত আরব আমিরাতের শিল্প প্রযুক্তিমন্ত্রী সাক্ষাৎ, বাংলাদেশের জ্বালানি খাতে বিনিয়োগে আগ্রহী ইএইউশিক্ষার্থীদের সুপ্ত প্রতিভা বিকাশে, পাঠ্যক্রম বহির্ভূত, </v>
      </c>
      <c r="D2" s="2" t="str">
        <f>IFERROR(__xludf.DUMMYFUNCTION("""COMPUTED_VALUE"""),"Yes")</f>
        <v>Yes</v>
      </c>
      <c r="E2" s="2" t="str">
        <f>IFERROR(__xludf.DUMMYFUNCTION("""COMPUTED_VALUE"""),"No")</f>
        <v>No</v>
      </c>
      <c r="F2" s="2" t="str">
        <f>IFERROR(__xludf.DUMMYFUNCTION("""COMPUTED_VALUE"""),"No")</f>
        <v>No</v>
      </c>
      <c r="G2" s="2">
        <f>IFERROR(__xludf.DUMMYFUNCTION("""COMPUTED_VALUE"""),0.5)</f>
        <v>0.5</v>
      </c>
      <c r="H2" s="2">
        <f>IFERROR(__xludf.DUMMYFUNCTION("""COMPUTED_VALUE"""),0.5)</f>
        <v>0.5</v>
      </c>
      <c r="I2" s="2">
        <f>IFERROR(__xludf.DUMMYFUNCTION("""COMPUTED_VALUE"""),1.0)</f>
        <v>1</v>
      </c>
      <c r="J2" s="2">
        <f>IFERROR(__xludf.DUMMYFUNCTION("""COMPUTED_VALUE"""),1.0)</f>
        <v>1</v>
      </c>
      <c r="K2" s="2" t="str">
        <f>IFERROR(__xludf.DUMMYFUNCTION("""COMPUTED_VALUE"""),"4– Usable, minor flaws Minor background noise.")</f>
        <v>4– Usable, minor flaws Minor background noise.</v>
      </c>
      <c r="L2" s="2" t="str">
        <f>IFERROR(__xludf.DUMMYFUNCTION("""COMPUTED_VALUE"""),"No")</f>
        <v>No</v>
      </c>
    </row>
    <row r="3">
      <c r="A3" s="2" t="str">
        <f>IFERROR(__xludf.DUMMYFUNCTION("""COMPUTED_VALUE"""),"collect\spontaneous\Facebook\BangladeshBetarNews\00393dc1-f9ef-4c07-8eb2-54cf56b925a5.flac")</f>
        <v>collect\spontaneous\Facebook\BangladeshBetarNews\00393dc1-f9ef-4c07-8eb2-54cf56b925a5.flac</v>
      </c>
      <c r="B3" s="2">
        <f>IFERROR(__xludf.DUMMYFUNCTION("""COMPUTED_VALUE"""),15.0)</f>
        <v>15</v>
      </c>
      <c r="C3" s="2" t="str">
        <f>IFERROR(__xludf.DUMMYFUNCTION("""COMPUTED_VALUE"""),"আক্রান্ত এবং সিলেটে গত রাতে দ্বিতীয় বর শেষ টি টোয়েন্টি ক্রিকেট ম্যাচে আফগানিস্তানকে হারিয়ে সিরিজ জয় করেছে বাংলাদেশ। শিরোনাম শুনলেন বাড়ছে ডেঙ্গুর প্রক")</f>
        <v>আক্রান্ত এবং সিলেটে গত রাতে দ্বিতীয় বর শেষ টি টোয়েন্টি ক্রিকেট ম্যাচে আফগানিস্তানকে হারিয়ে সিরিজ জয় করেছে বাংলাদেশ। শিরোনাম শুনলেন বাড়ছে ডেঙ্গুর প্রক</v>
      </c>
      <c r="D3" s="2" t="str">
        <f>IFERROR(__xludf.DUMMYFUNCTION("""COMPUTED_VALUE"""),"Yes")</f>
        <v>Yes</v>
      </c>
      <c r="E3" s="2" t="str">
        <f>IFERROR(__xludf.DUMMYFUNCTION("""COMPUTED_VALUE"""),"No")</f>
        <v>No</v>
      </c>
      <c r="F3" s="2" t="str">
        <f>IFERROR(__xludf.DUMMYFUNCTION("""COMPUTED_VALUE"""),"No")</f>
        <v>No</v>
      </c>
      <c r="G3" s="2">
        <f>IFERROR(__xludf.DUMMYFUNCTION("""COMPUTED_VALUE"""),1.0)</f>
        <v>1</v>
      </c>
      <c r="H3" s="2">
        <f>IFERROR(__xludf.DUMMYFUNCTION("""COMPUTED_VALUE"""),1.0)</f>
        <v>1</v>
      </c>
      <c r="I3" s="2">
        <f>IFERROR(__xludf.DUMMYFUNCTION("""COMPUTED_VALUE"""),1.0)</f>
        <v>1</v>
      </c>
      <c r="J3" s="2">
        <f>IFERROR(__xludf.DUMMYFUNCTION("""COMPUTED_VALUE"""),1.0)</f>
        <v>1</v>
      </c>
      <c r="K3" s="2" t="str">
        <f>IFERROR(__xludf.DUMMYFUNCTION("""COMPUTED_VALUE"""),"5 – High-quality, Clean Bangla speech")</f>
        <v>5 – High-quality, Clean Bangla speech</v>
      </c>
      <c r="L3" s="2" t="str">
        <f>IFERROR(__xludf.DUMMYFUNCTION("""COMPUTED_VALUE"""),"No")</f>
        <v>No</v>
      </c>
    </row>
    <row r="4">
      <c r="A4" s="2" t="str">
        <f>IFERROR(__xludf.DUMMYFUNCTION("""COMPUTED_VALUE"""),"collect\spontaneous\Facebook\BangladeshBetarNews\00c15f2d-186d-40d0-bd7a-c114030883fa.flac")</f>
        <v>collect\spontaneous\Facebook\BangladeshBetarNews\00c15f2d-186d-40d0-bd7a-c114030883fa.flac</v>
      </c>
      <c r="B4" s="2">
        <f>IFERROR(__xludf.DUMMYFUNCTION("""COMPUTED_VALUE"""),15.0)</f>
        <v>15</v>
      </c>
      <c r="C4" s="2" t="str">
        <f>IFERROR(__xludf.DUMMYFUNCTION("""COMPUTED_VALUE"""),"তার অ্যাপসটি। খবরের বাকে অংশ পড়ছি খন্দকার মোহাম্মদ নুরুল ইসলাম ইসলাম ধার্মের প্রতি জাতির পিতা বঙ্গবন্ধু শেখ মুজিবুর রহমান ছিল গভীর অনুরাগ। তাই তিনি সদ্য স্বাদীন দেশে ইসলামের প্রসারে নিয়ে")</f>
        <v>তার অ্যাপসটি। খবরের বাকে অংশ পড়ছি খন্দকার মোহাম্মদ নুরুল ইসলাম ইসলাম ধার্মের প্রতি জাতির পিতা বঙ্গবন্ধু শেখ মুজিবুর রহমান ছিল গভীর অনুরাগ। তাই তিনি সদ্য স্বাদীন দেশে ইসলামের প্রসারে নিয়ে</v>
      </c>
      <c r="D4" s="2" t="str">
        <f>IFERROR(__xludf.DUMMYFUNCTION("""COMPUTED_VALUE"""),"Yes")</f>
        <v>Yes</v>
      </c>
      <c r="E4" s="2" t="str">
        <f>IFERROR(__xludf.DUMMYFUNCTION("""COMPUTED_VALUE"""),"No")</f>
        <v>No</v>
      </c>
      <c r="F4" s="2" t="str">
        <f>IFERROR(__xludf.DUMMYFUNCTION("""COMPUTED_VALUE"""),"Yes")</f>
        <v>Yes</v>
      </c>
      <c r="G4" s="2">
        <f>IFERROR(__xludf.DUMMYFUNCTION("""COMPUTED_VALUE"""),0.5)</f>
        <v>0.5</v>
      </c>
      <c r="H4" s="2">
        <f>IFERROR(__xludf.DUMMYFUNCTION("""COMPUTED_VALUE"""),0.5)</f>
        <v>0.5</v>
      </c>
      <c r="I4" s="2">
        <f>IFERROR(__xludf.DUMMYFUNCTION("""COMPUTED_VALUE"""),1.0)</f>
        <v>1</v>
      </c>
      <c r="J4" s="2">
        <f>IFERROR(__xludf.DUMMYFUNCTION("""COMPUTED_VALUE"""),0.0)</f>
        <v>0</v>
      </c>
      <c r="K4" s="2" t="str">
        <f>IFERROR(__xludf.DUMMYFUNCTION("""COMPUTED_VALUE"""),"4– Usable, minor flaws Minor background noise.")</f>
        <v>4– Usable, minor flaws Minor background noise.</v>
      </c>
      <c r="L4" s="2" t="str">
        <f>IFERROR(__xludf.DUMMYFUNCTION("""COMPUTED_VALUE"""),"No")</f>
        <v>No</v>
      </c>
    </row>
    <row r="5">
      <c r="A5" s="2" t="str">
        <f>IFERROR(__xludf.DUMMYFUNCTION("""COMPUTED_VALUE"""),"collect\spontaneous\Facebook\BangladeshBetarNews\00cc4b27-ff39-491d-8e50-51c4e6e563b9.flac")</f>
        <v>collect\spontaneous\Facebook\BangladeshBetarNews\00cc4b27-ff39-491d-8e50-51c4e6e563b9.flac</v>
      </c>
      <c r="B5" s="2">
        <f>IFERROR(__xludf.DUMMYFUNCTION("""COMPUTED_VALUE"""),15.0)</f>
        <v>15</v>
      </c>
      <c r="C5" s="2" t="str">
        <f>IFERROR(__xludf.DUMMYFUNCTION("""COMPUTED_VALUE"""),"একটি দেশে তত্ত্বাবৈধায়ক সরকার ব্যবস্থা রয়েছে উল্লেখ করে ওবায়দুল কাদের বিএনপি নেতা ফখরুল ইসলামকে দলবল নিয়ে পাকিস্তানে চলে যাওয়ার পরামর্শ, এই ফুট মাথা থেকে নামা, সোজা পথে আসো।")</f>
        <v>একটি দেশে তত্ত্বাবৈধায়ক সরকার ব্যবস্থা রয়েছে উল্লেখ করে ওবায়দুল কাদের বিএনপি নেতা ফখরুল ইসলামকে দলবল নিয়ে পাকিস্তানে চলে যাওয়ার পরামর্শ, এই ফুট মাথা থেকে নামা, সোজা পথে আসো।</v>
      </c>
      <c r="D5" s="2" t="str">
        <f>IFERROR(__xludf.DUMMYFUNCTION("""COMPUTED_VALUE"""),"Yes")</f>
        <v>Yes</v>
      </c>
      <c r="E5" s="2" t="str">
        <f>IFERROR(__xludf.DUMMYFUNCTION("""COMPUTED_VALUE"""),"Yes")</f>
        <v>Yes</v>
      </c>
      <c r="F5" s="2" t="str">
        <f>IFERROR(__xludf.DUMMYFUNCTION("""COMPUTED_VALUE"""),"Yes")</f>
        <v>Yes</v>
      </c>
      <c r="G5" s="2">
        <f>IFERROR(__xludf.DUMMYFUNCTION("""COMPUTED_VALUE"""),0.5)</f>
        <v>0.5</v>
      </c>
      <c r="H5" s="2">
        <f>IFERROR(__xludf.DUMMYFUNCTION("""COMPUTED_VALUE"""),1.0)</f>
        <v>1</v>
      </c>
      <c r="I5" s="2">
        <f>IFERROR(__xludf.DUMMYFUNCTION("""COMPUTED_VALUE"""),1.0)</f>
        <v>1</v>
      </c>
      <c r="J5" s="2">
        <f>IFERROR(__xludf.DUMMYFUNCTION("""COMPUTED_VALUE"""),0.5)</f>
        <v>0.5</v>
      </c>
      <c r="K5" s="2" t="str">
        <f>IFERROR(__xludf.DUMMYFUNCTION("""COMPUTED_VALUE"""),"4– Usable, minor flaws Minor background noise.")</f>
        <v>4– Usable, minor flaws Minor background noise.</v>
      </c>
      <c r="L5" s="2" t="str">
        <f>IFERROR(__xludf.DUMMYFUNCTION("""COMPUTED_VALUE"""),"No")</f>
        <v>No</v>
      </c>
    </row>
    <row r="6">
      <c r="A6" s="2" t="str">
        <f>IFERROR(__xludf.DUMMYFUNCTION("""COMPUTED_VALUE"""),"collect\spontaneous\Facebook\BangladeshBetarNews\00d24d58-dc5a-4416-9a5f-b698cffe6762.flac")</f>
        <v>collect\spontaneous\Facebook\BangladeshBetarNews\00d24d58-dc5a-4416-9a5f-b698cffe6762.flac</v>
      </c>
      <c r="B6" s="2">
        <f>IFERROR(__xludf.DUMMYFUNCTION("""COMPUTED_VALUE"""),15.0)</f>
        <v>15</v>
      </c>
      <c r="C6" s="2" t="str">
        <f>IFERROR(__xludf.DUMMYFUNCTION("""COMPUTED_VALUE"""),"খবরের বাকি অংশ পড়ছি। মাহমুদা আখতার রাষ্ট্রপতি মুহাম্মদ শাহাবউদ্দিন সৌদি আরবে পবিত্র হজ পালন শেষে আজ দেশে ফিরবেন। পবিত্র হজের আনুষ্ঠানিকতা শেষে তিনি শুক্রবার")</f>
        <v>খবরের বাকি অংশ পড়ছি। মাহমুদা আখতার রাষ্ট্রপতি মুহাম্মদ শাহাবউদ্দিন সৌদি আরবে পবিত্র হজ পালন শেষে আজ দেশে ফিরবেন। পবিত্র হজের আনুষ্ঠানিকতা শেষে তিনি শুক্রবার</v>
      </c>
      <c r="D6" s="2" t="str">
        <f>IFERROR(__xludf.DUMMYFUNCTION("""COMPUTED_VALUE"""),"Yes")</f>
        <v>Yes</v>
      </c>
      <c r="E6" s="2" t="str">
        <f>IFERROR(__xludf.DUMMYFUNCTION("""COMPUTED_VALUE"""),"No")</f>
        <v>No</v>
      </c>
      <c r="F6" s="2" t="str">
        <f>IFERROR(__xludf.DUMMYFUNCTION("""COMPUTED_VALUE"""),"No")</f>
        <v>No</v>
      </c>
      <c r="G6" s="2">
        <f>IFERROR(__xludf.DUMMYFUNCTION("""COMPUTED_VALUE"""),1.0)</f>
        <v>1</v>
      </c>
      <c r="H6" s="2">
        <f>IFERROR(__xludf.DUMMYFUNCTION("""COMPUTED_VALUE"""),1.0)</f>
        <v>1</v>
      </c>
      <c r="I6" s="2">
        <f>IFERROR(__xludf.DUMMYFUNCTION("""COMPUTED_VALUE"""),1.0)</f>
        <v>1</v>
      </c>
      <c r="J6" s="2">
        <f>IFERROR(__xludf.DUMMYFUNCTION("""COMPUTED_VALUE"""),0.5)</f>
        <v>0.5</v>
      </c>
      <c r="K6" s="2" t="str">
        <f>IFERROR(__xludf.DUMMYFUNCTION("""COMPUTED_VALUE"""),"5 – High-quality, Clean Bangla speech")</f>
        <v>5 – High-quality, Clean Bangla speech</v>
      </c>
      <c r="L6" s="2" t="str">
        <f>IFERROR(__xludf.DUMMYFUNCTION("""COMPUTED_VALUE"""),"No")</f>
        <v>No</v>
      </c>
    </row>
    <row r="7">
      <c r="A7" s="2" t="str">
        <f>IFERROR(__xludf.DUMMYFUNCTION("""COMPUTED_VALUE"""),"collect\spontaneous\Facebook\BangladeshBetarNews\016b7d51-c39a-475a-91ee-0eace7fd6107.flac")</f>
        <v>collect\spontaneous\Facebook\BangladeshBetarNews\016b7d51-c39a-475a-91ee-0eace7fd6107.flac</v>
      </c>
      <c r="B7" s="2">
        <f>IFERROR(__xludf.DUMMYFUNCTION("""COMPUTED_VALUE"""),15.0)</f>
        <v>15</v>
      </c>
      <c r="C7" s="2" t="str">
        <f>IFERROR(__xludf.DUMMYFUNCTION("""COMPUTED_VALUE"""),"সকাল সাতটা। আজ বৃহস্পতিবার ছাব্বিশে শ্রাবণ বাইশে মহরম দশই আগস্ট বাংলাদেশ বেতার খবর পড়ছি পরভিন আহসান। শুরুতেই শিরোনাম")</f>
        <v>সকাল সাতটা। আজ বৃহস্পতিবার ছাব্বিশে শ্রাবণ বাইশে মহরম দশই আগস্ট বাংলাদেশ বেতার খবর পড়ছি পরভিন আহসান। শুরুতেই শিরোনাম</v>
      </c>
      <c r="D7" s="2" t="str">
        <f>IFERROR(__xludf.DUMMYFUNCTION("""COMPUTED_VALUE"""),"Yes")</f>
        <v>Yes</v>
      </c>
      <c r="E7" s="2" t="str">
        <f>IFERROR(__xludf.DUMMYFUNCTION("""COMPUTED_VALUE"""),"No")</f>
        <v>No</v>
      </c>
      <c r="F7" s="2" t="str">
        <f>IFERROR(__xludf.DUMMYFUNCTION("""COMPUTED_VALUE"""),"No")</f>
        <v>No</v>
      </c>
      <c r="G7" s="2">
        <f>IFERROR(__xludf.DUMMYFUNCTION("""COMPUTED_VALUE"""),1.0)</f>
        <v>1</v>
      </c>
      <c r="H7" s="2">
        <f>IFERROR(__xludf.DUMMYFUNCTION("""COMPUTED_VALUE"""),1.0)</f>
        <v>1</v>
      </c>
      <c r="I7" s="2">
        <f>IFERROR(__xludf.DUMMYFUNCTION("""COMPUTED_VALUE"""),1.0)</f>
        <v>1</v>
      </c>
      <c r="J7" s="2">
        <f>IFERROR(__xludf.DUMMYFUNCTION("""COMPUTED_VALUE"""),0.5)</f>
        <v>0.5</v>
      </c>
      <c r="K7" s="2" t="str">
        <f>IFERROR(__xludf.DUMMYFUNCTION("""COMPUTED_VALUE"""),"5 – High-quality, Clean Bangla speech")</f>
        <v>5 – High-quality, Clean Bangla speech</v>
      </c>
      <c r="L7" s="2" t="str">
        <f>IFERROR(__xludf.DUMMYFUNCTION("""COMPUTED_VALUE"""),"No")</f>
        <v>No</v>
      </c>
    </row>
    <row r="8">
      <c r="A8" s="2" t="str">
        <f>IFERROR(__xludf.DUMMYFUNCTION("""COMPUTED_VALUE"""),"collect\spontaneous\Facebook\BangladeshBetarNews\0190617f-a67a-4fd0-8b4b-0a71290b5366.flac")</f>
        <v>collect\spontaneous\Facebook\BangladeshBetarNews\0190617f-a67a-4fd0-8b4b-0a71290b5366.flac</v>
      </c>
      <c r="B8" s="2">
        <f>IFERROR(__xludf.DUMMYFUNCTION("""COMPUTED_VALUE"""),15.0)</f>
        <v>15</v>
      </c>
      <c r="C8" s="2" t="str">
        <f>IFERROR(__xludf.DUMMYFUNCTION("""COMPUTED_VALUE"""),"বললেন আওয়ামী লীগ সাধারণ সম্পাদক বঙ্গবন্ধু বেঁচে থাকলে স্বাধীনতার দেড় সবযোগের মধ্যেই উন্নত ও সমৃদ্ত রাষ্ট্র হতো বাংলাদেশ, মন্তব্য, তথ্য ও সম্প্রচারমন্ত্রী সারাদেশে কাঠধারীদের মধ্যে টিসিবির চলতি মাসে নিত")</f>
        <v>বললেন আওয়ামী লীগ সাধারণ সম্পাদক বঙ্গবন্ধু বেঁচে থাকলে স্বাধীনতার দেড় সবযোগের মধ্যেই উন্নত ও সমৃদ্ত রাষ্ট্র হতো বাংলাদেশ, মন্তব্য, তথ্য ও সম্প্রচারমন্ত্রী সারাদেশে কাঠধারীদের মধ্যে টিসিবির চলতি মাসে নিত</v>
      </c>
      <c r="D8" s="2" t="str">
        <f>IFERROR(__xludf.DUMMYFUNCTION("""COMPUTED_VALUE"""),"Yes")</f>
        <v>Yes</v>
      </c>
      <c r="E8" s="2" t="str">
        <f>IFERROR(__xludf.DUMMYFUNCTION("""COMPUTED_VALUE"""),"No")</f>
        <v>No</v>
      </c>
      <c r="F8" s="2" t="str">
        <f>IFERROR(__xludf.DUMMYFUNCTION("""COMPUTED_VALUE"""),"Yes")</f>
        <v>Yes</v>
      </c>
      <c r="G8" s="2">
        <f>IFERROR(__xludf.DUMMYFUNCTION("""COMPUTED_VALUE"""),0.5)</f>
        <v>0.5</v>
      </c>
      <c r="H8" s="2">
        <f>IFERROR(__xludf.DUMMYFUNCTION("""COMPUTED_VALUE"""),0.5)</f>
        <v>0.5</v>
      </c>
      <c r="I8" s="2">
        <f>IFERROR(__xludf.DUMMYFUNCTION("""COMPUTED_VALUE"""),1.0)</f>
        <v>1</v>
      </c>
      <c r="J8" s="2">
        <f>IFERROR(__xludf.DUMMYFUNCTION("""COMPUTED_VALUE"""),0.5)</f>
        <v>0.5</v>
      </c>
      <c r="K8" s="2" t="str">
        <f>IFERROR(__xludf.DUMMYFUNCTION("""COMPUTED_VALUE"""),"4– Usable, minor flaws Minor background noise.")</f>
        <v>4– Usable, minor flaws Minor background noise.</v>
      </c>
      <c r="L8" s="2" t="str">
        <f>IFERROR(__xludf.DUMMYFUNCTION("""COMPUTED_VALUE"""),"No")</f>
        <v>No</v>
      </c>
    </row>
    <row r="9">
      <c r="A9" s="2" t="str">
        <f>IFERROR(__xludf.DUMMYFUNCTION("""COMPUTED_VALUE"""),"collect\spontaneous\Facebook\BangladeshBetarNews\01ca4bfc-046f-43db-a6d3-980eca348656.flac")</f>
        <v>collect\spontaneous\Facebook\BangladeshBetarNews\01ca4bfc-046f-43db-a6d3-980eca348656.flac</v>
      </c>
      <c r="B9" s="2">
        <f>IFERROR(__xludf.DUMMYFUNCTION("""COMPUTED_VALUE"""),8.0)</f>
        <v>8</v>
      </c>
      <c r="C9" s="2" t="str">
        <f>IFERROR(__xludf.DUMMYFUNCTION("""COMPUTED_VALUE"""),"মানোন্নয়নে সংশ্লিষ্ট সকলকে একত্রে কাজ করার আহ্বান প্রধানমন্ত্রী শেখ হাসিনার। শেখ হাসিনাকে গ্রেপ্তারের মধ্য দিয়ে গণতন্ত্রের পায়ে শেকল পড়ানো হয়েছিল হাসিনার শেখ হাসিনাকে গ্রেপ্তারের মধ্য দিয়ে গণতন্ত্রের পায়ে শেকল পড়ানো হয়েছিল।")</f>
        <v>মানোন্নয়নে সংশ্লিষ্ট সকলকে একত্রে কাজ করার আহ্বান প্রধানমন্ত্রী শেখ হাসিনার। শেখ হাসিনাকে গ্রেপ্তারের মধ্য দিয়ে গণতন্ত্রের পায়ে শেকল পড়ানো হয়েছিল হাসিনার শেখ হাসিনাকে গ্রেপ্তারের মধ্য দিয়ে গণতন্ত্রের পায়ে শেকল পড়ানো হয়েছিল।</v>
      </c>
      <c r="D9" s="2" t="str">
        <f>IFERROR(__xludf.DUMMYFUNCTION("""COMPUTED_VALUE"""),"No")</f>
        <v>No</v>
      </c>
      <c r="E9" s="2" t="str">
        <f>IFERROR(__xludf.DUMMYFUNCTION("""COMPUTED_VALUE"""),"No")</f>
        <v>No</v>
      </c>
      <c r="F9" s="2" t="str">
        <f>IFERROR(__xludf.DUMMYFUNCTION("""COMPUTED_VALUE"""),"No")</f>
        <v>No</v>
      </c>
      <c r="G9" s="2">
        <f>IFERROR(__xludf.DUMMYFUNCTION("""COMPUTED_VALUE"""),0.0)</f>
        <v>0</v>
      </c>
      <c r="H9" s="2">
        <f>IFERROR(__xludf.DUMMYFUNCTION("""COMPUTED_VALUE"""),0.0)</f>
        <v>0</v>
      </c>
      <c r="I9" s="2">
        <f>IFERROR(__xludf.DUMMYFUNCTION("""COMPUTED_VALUE"""),1.0)</f>
        <v>1</v>
      </c>
      <c r="J9" s="2">
        <f>IFERROR(__xludf.DUMMYFUNCTION("""COMPUTED_VALUE"""),1.0)</f>
        <v>1</v>
      </c>
      <c r="K9" s="2" t="str">
        <f>IFERROR(__xludf.DUMMYFUNCTION("""COMPUTED_VALUE"""),"4– Usable, minor flaws Minor background noise.")</f>
        <v>4– Usable, minor flaws Minor background noise.</v>
      </c>
      <c r="L9" s="2" t="str">
        <f>IFERROR(__xludf.DUMMYFUNCTION("""COMPUTED_VALUE"""),"No")</f>
        <v>No</v>
      </c>
    </row>
    <row r="10">
      <c r="A10" s="2" t="str">
        <f>IFERROR(__xludf.DUMMYFUNCTION("""COMPUTED_VALUE"""),"collect\spontaneous\Facebook\BangladeshBetarNews\028b04bd-75a3-4eff-8e5b-767841f30069.flac")</f>
        <v>collect\spontaneous\Facebook\BangladeshBetarNews\028b04bd-75a3-4eff-8e5b-767841f30069.flac</v>
      </c>
      <c r="B10" s="2">
        <f>IFERROR(__xludf.DUMMYFUNCTION("""COMPUTED_VALUE"""),15.0)</f>
        <v>15</v>
      </c>
      <c r="C10" s="2" t="str">
        <f>IFERROR(__xludf.DUMMYFUNCTION("""COMPUTED_VALUE"""),"জীবিত হয়ে বঙ্গবন্ধুকন্যাদেশরত্ন শেখ হাসিনার আহাতকে শক্তিশরার পবিত্র ঈদ উল আজহার দিনে দেশি বিদেশি সমস্ত ষড়যন্ত্রের হাত থেকে দেশকে রক্ষার জন্য, মহান শ্র")</f>
        <v>জীবিত হয়ে বঙ্গবন্ধুকন্যাদেশরত্ন শেখ হাসিনার আহাতকে শক্তিশরার পবিত্র ঈদ উল আজহার দিনে দেশি বিদেশি সমস্ত ষড়যন্ত্রের হাত থেকে দেশকে রক্ষার জন্য, মহান শ্র</v>
      </c>
      <c r="D10" s="2" t="str">
        <f>IFERROR(__xludf.DUMMYFUNCTION("""COMPUTED_VALUE"""),"Yes")</f>
        <v>Yes</v>
      </c>
      <c r="E10" s="2" t="str">
        <f>IFERROR(__xludf.DUMMYFUNCTION("""COMPUTED_VALUE"""),"No")</f>
        <v>No</v>
      </c>
      <c r="F10" s="2" t="str">
        <f>IFERROR(__xludf.DUMMYFUNCTION("""COMPUTED_VALUE"""),"Yes")</f>
        <v>Yes</v>
      </c>
      <c r="G10" s="2">
        <f>IFERROR(__xludf.DUMMYFUNCTION("""COMPUTED_VALUE"""),0.5)</f>
        <v>0.5</v>
      </c>
      <c r="H10" s="2">
        <f>IFERROR(__xludf.DUMMYFUNCTION("""COMPUTED_VALUE"""),0.5)</f>
        <v>0.5</v>
      </c>
      <c r="I10" s="2">
        <f>IFERROR(__xludf.DUMMYFUNCTION("""COMPUTED_VALUE"""),1.0)</f>
        <v>1</v>
      </c>
      <c r="J10" s="2">
        <f>IFERROR(__xludf.DUMMYFUNCTION("""COMPUTED_VALUE"""),0.5)</f>
        <v>0.5</v>
      </c>
      <c r="K10" s="2" t="str">
        <f>IFERROR(__xludf.DUMMYFUNCTION("""COMPUTED_VALUE"""),"3 – Mixed language or inconsistent quality")</f>
        <v>3 – Mixed language or inconsistent quality</v>
      </c>
      <c r="L10" s="2" t="str">
        <f>IFERROR(__xludf.DUMMYFUNCTION("""COMPUTED_VALUE"""),"No")</f>
        <v>No</v>
      </c>
    </row>
    <row r="11">
      <c r="A11" s="2" t="str">
        <f>IFERROR(__xludf.DUMMYFUNCTION("""COMPUTED_VALUE"""),"collect\spontaneous\Facebook\BangladeshBetarNews\038f6223-6dbe-497f-81eb-6533e9e249b6.flac")</f>
        <v>collect\spontaneous\Facebook\BangladeshBetarNews\038f6223-6dbe-497f-81eb-6533e9e249b6.flac</v>
      </c>
      <c r="B11" s="2">
        <f>IFERROR(__xludf.DUMMYFUNCTION("""COMPUTED_VALUE"""),15.0)</f>
        <v>15</v>
      </c>
      <c r="C11" s="2" t="str">
        <f>IFERROR(__xludf.DUMMYFUNCTION("""COMPUTED_VALUE"""),"সাতটা। আজ বৃহস্পতিবার। বারু শ্রাবণ আটই মোহাররাম, সাতাশি জুলাই বাংলাদেশ বেতার খবর পড়ছে পারভীন আহসান শুরুতেই শিরোনাম রোমে জাতিসংঘ খাদ্য ব্যবস্থাপনা")</f>
        <v>সাতটা। আজ বৃহস্পতিবার। বারু শ্রাবণ আটই মোহাররাম, সাতাশি জুলাই বাংলাদেশ বেতার খবর পড়ছে পারভীন আহসান শুরুতেই শিরোনাম রোমে জাতিসংঘ খাদ্য ব্যবস্থাপনা</v>
      </c>
      <c r="D11" s="2" t="str">
        <f>IFERROR(__xludf.DUMMYFUNCTION("""COMPUTED_VALUE"""),"Yes")</f>
        <v>Yes</v>
      </c>
      <c r="E11" s="2" t="str">
        <f>IFERROR(__xludf.DUMMYFUNCTION("""COMPUTED_VALUE"""),"No")</f>
        <v>No</v>
      </c>
      <c r="F11" s="2" t="str">
        <f>IFERROR(__xludf.DUMMYFUNCTION("""COMPUTED_VALUE"""),"Yes")</f>
        <v>Yes</v>
      </c>
      <c r="G11" s="2">
        <f>IFERROR(__xludf.DUMMYFUNCTION("""COMPUTED_VALUE"""),0.5)</f>
        <v>0.5</v>
      </c>
      <c r="H11" s="2">
        <f>IFERROR(__xludf.DUMMYFUNCTION("""COMPUTED_VALUE"""),1.0)</f>
        <v>1</v>
      </c>
      <c r="I11" s="2">
        <f>IFERROR(__xludf.DUMMYFUNCTION("""COMPUTED_VALUE"""),1.0)</f>
        <v>1</v>
      </c>
      <c r="J11" s="2">
        <f>IFERROR(__xludf.DUMMYFUNCTION("""COMPUTED_VALUE"""),0.5)</f>
        <v>0.5</v>
      </c>
      <c r="K11" s="2" t="str">
        <f>IFERROR(__xludf.DUMMYFUNCTION("""COMPUTED_VALUE"""),"4– Usable, minor flaws Minor background noise.")</f>
        <v>4– Usable, minor flaws Minor background noise.</v>
      </c>
      <c r="L11" s="2" t="str">
        <f>IFERROR(__xludf.DUMMYFUNCTION("""COMPUTED_VALUE"""),"No")</f>
        <v>No</v>
      </c>
    </row>
    <row r="12">
      <c r="A12" s="2" t="str">
        <f>IFERROR(__xludf.DUMMYFUNCTION("""COMPUTED_VALUE"""),"collect\spontaneous\Facebook\BangladeshBetarNews\0b831aef-9d86-43fd-9cba-00ab36565b26.flac")</f>
        <v>collect\spontaneous\Facebook\BangladeshBetarNews\0b831aef-9d86-43fd-9cba-00ab36565b26.flac</v>
      </c>
      <c r="B12" s="2">
        <f>IFERROR(__xludf.DUMMYFUNCTION("""COMPUTED_VALUE"""),15.0)</f>
        <v>15</v>
      </c>
      <c r="C12" s="2" t="str">
        <f>IFERROR(__xludf.DUMMYFUNCTION("""COMPUTED_VALUE"""),"রংপুরের জনসভায়ের প্রমাণ। মন্তব্য তথ্য সম্প্রচারমন্ত্রীর; পাকিস্তানির সাবেক প্রধানমন্ত্রী ইমরান খান গ্রেপ্তার, তোশাখানা মামলায় তিন বছরের কারাদণ্ড এবং ফিফা নারী বিশ্বকাপ ফুটবল টুর্নামেন্টের কোয়ার্টার ফাইনালে উঠল স্পেন ও জাপান।")</f>
        <v>রংপুরের জনসভায়ের প্রমাণ। মন্তব্য তথ্য সম্প্রচারমন্ত্রীর; পাকিস্তানির সাবেক প্রধানমন্ত্রী ইমরান খান গ্রেপ্তার, তোশাখানা মামলায় তিন বছরের কারাদণ্ড এবং ফিফা নারী বিশ্বকাপ ফুটবল টুর্নামেন্টের কোয়ার্টার ফাইনালে উঠল স্পেন ও জাপান।</v>
      </c>
      <c r="D12" s="2" t="str">
        <f>IFERROR(__xludf.DUMMYFUNCTION("""COMPUTED_VALUE"""),"Yes")</f>
        <v>Yes</v>
      </c>
      <c r="E12" s="2" t="str">
        <f>IFERROR(__xludf.DUMMYFUNCTION("""COMPUTED_VALUE"""),"No")</f>
        <v>No</v>
      </c>
      <c r="F12" s="2" t="str">
        <f>IFERROR(__xludf.DUMMYFUNCTION("""COMPUTED_VALUE"""),"Yes")</f>
        <v>Yes</v>
      </c>
      <c r="G12" s="2">
        <f>IFERROR(__xludf.DUMMYFUNCTION("""COMPUTED_VALUE"""),0.5)</f>
        <v>0.5</v>
      </c>
      <c r="H12" s="2">
        <f>IFERROR(__xludf.DUMMYFUNCTION("""COMPUTED_VALUE"""),1.0)</f>
        <v>1</v>
      </c>
      <c r="I12" s="2">
        <f>IFERROR(__xludf.DUMMYFUNCTION("""COMPUTED_VALUE"""),1.0)</f>
        <v>1</v>
      </c>
      <c r="J12" s="2">
        <f>IFERROR(__xludf.DUMMYFUNCTION("""COMPUTED_VALUE"""),0.5)</f>
        <v>0.5</v>
      </c>
      <c r="K12" s="2" t="str">
        <f>IFERROR(__xludf.DUMMYFUNCTION("""COMPUTED_VALUE"""),"5 – High-quality, Clean Bangla speech")</f>
        <v>5 – High-quality, Clean Bangla speech</v>
      </c>
      <c r="L12" s="2" t="str">
        <f>IFERROR(__xludf.DUMMYFUNCTION("""COMPUTED_VALUE"""),"No")</f>
        <v>No</v>
      </c>
    </row>
    <row r="13">
      <c r="A13" s="2" t="str">
        <f>IFERROR(__xludf.DUMMYFUNCTION("""COMPUTED_VALUE"""),"collect\spontaneous\Facebook\BangladeshBetarNews\0dc7b7b6-b341-46cc-ac7d-2b96a5ffeceb.flac")</f>
        <v>collect\spontaneous\Facebook\BangladeshBetarNews\0dc7b7b6-b341-46cc-ac7d-2b96a5ffeceb.flac</v>
      </c>
      <c r="B13" s="2">
        <f>IFERROR(__xludf.DUMMYFUNCTION("""COMPUTED_VALUE"""),15.0)</f>
        <v>15</v>
      </c>
      <c r="C13" s="2" t="str">
        <f>IFERROR(__xludf.DUMMYFUNCTION("""COMPUTED_VALUE"""),"পি একশো ও বেসরকারি হাসপাতালে পাঁচশো টাকা নির্ধারণ, জনসচেতনত বৃদ্ধির আহ্বান সংশ্লিষ্টদের পুরস্ক প্রেসিডেন্ট নির্বাচনে দ্বিতীয় দফা ভোট গ্রহণ অনুষ্ঠিত চলছে। ভোট গণনা এবং কোমানে জুনিয়র এশিয়া")</f>
        <v>পি একশো ও বেসরকারি হাসপাতালে পাঁচশো টাকা নির্ধারণ, জনসচেতনত বৃদ্ধির আহ্বান সংশ্লিষ্টদের পুরস্ক প্রেসিডেন্ট নির্বাচনে দ্বিতীয় দফা ভোট গ্রহণ অনুষ্ঠিত চলছে। ভোট গণনা এবং কোমানে জুনিয়র এশিয়া</v>
      </c>
      <c r="D13" s="2" t="str">
        <f>IFERROR(__xludf.DUMMYFUNCTION("""COMPUTED_VALUE"""),"Yes")</f>
        <v>Yes</v>
      </c>
      <c r="E13" s="2" t="str">
        <f>IFERROR(__xludf.DUMMYFUNCTION("""COMPUTED_VALUE"""),"No")</f>
        <v>No</v>
      </c>
      <c r="F13" s="2" t="str">
        <f>IFERROR(__xludf.DUMMYFUNCTION("""COMPUTED_VALUE"""),"Yes")</f>
        <v>Yes</v>
      </c>
      <c r="G13" s="2">
        <f>IFERROR(__xludf.DUMMYFUNCTION("""COMPUTED_VALUE"""),0.5)</f>
        <v>0.5</v>
      </c>
      <c r="H13" s="2">
        <f>IFERROR(__xludf.DUMMYFUNCTION("""COMPUTED_VALUE"""),1.0)</f>
        <v>1</v>
      </c>
      <c r="I13" s="2">
        <f>IFERROR(__xludf.DUMMYFUNCTION("""COMPUTED_VALUE"""),0.5)</f>
        <v>0.5</v>
      </c>
      <c r="J13" s="2">
        <f>IFERROR(__xludf.DUMMYFUNCTION("""COMPUTED_VALUE"""),0.0)</f>
        <v>0</v>
      </c>
      <c r="K13" s="2" t="str">
        <f>IFERROR(__xludf.DUMMYFUNCTION("""COMPUTED_VALUE"""),"4– Usable, minor flaws Minor background noise.")</f>
        <v>4– Usable, minor flaws Minor background noise.</v>
      </c>
      <c r="L13" s="2" t="str">
        <f>IFERROR(__xludf.DUMMYFUNCTION("""COMPUTED_VALUE"""),"No")</f>
        <v>No</v>
      </c>
    </row>
    <row r="14">
      <c r="A14" s="2" t="str">
        <f>IFERROR(__xludf.DUMMYFUNCTION("""COMPUTED_VALUE"""),"collect\spontaneous\Facebook\BangladeshBetarNews\12160b30-3ea2-4ec1-9bce-7051478874a0.flac")</f>
        <v>collect\spontaneous\Facebook\BangladeshBetarNews\12160b30-3ea2-4ec1-9bce-7051478874a0.flac</v>
      </c>
      <c r="B14" s="2">
        <f>IFERROR(__xludf.DUMMYFUNCTION("""COMPUTED_VALUE"""),15.0)</f>
        <v>15</v>
      </c>
      <c r="C14" s="2" t="str">
        <f>IFERROR(__xludf.DUMMYFUNCTION("""COMPUTED_VALUE"""),"চালিত স্বপ্ন, বঙ্গবন্ধু ও বাংলাদেশ সমার্থক। মোহাম্মদ আরাফাত হোসেন বাংলাদেশ বেতার খুলনা স্বাস্থ্য পরিবার কল্যাণমন্ত্রী জাহিদ মালেক বলেছেন, দেশের সব সরকারি হাসপাতালের নার্স ও কর্মচারীদের সঠিকভাবে কাজ")</f>
        <v>চালিত স্বপ্ন, বঙ্গবন্ধু ও বাংলাদেশ সমার্থক। মোহাম্মদ আরাফাত হোসেন বাংলাদেশ বেতার খুলনা স্বাস্থ্য পরিবার কল্যাণমন্ত্রী জাহিদ মালেক বলেছেন, দেশের সব সরকারি হাসপাতালের নার্স ও কর্মচারীদের সঠিকভাবে কাজ</v>
      </c>
      <c r="D14" s="2" t="str">
        <f>IFERROR(__xludf.DUMMYFUNCTION("""COMPUTED_VALUE"""),"Yes")</f>
        <v>Yes</v>
      </c>
      <c r="E14" s="2" t="str">
        <f>IFERROR(__xludf.DUMMYFUNCTION("""COMPUTED_VALUE"""),"No")</f>
        <v>No</v>
      </c>
      <c r="F14" s="2" t="str">
        <f>IFERROR(__xludf.DUMMYFUNCTION("""COMPUTED_VALUE"""),"No")</f>
        <v>No</v>
      </c>
      <c r="G14" s="2">
        <f>IFERROR(__xludf.DUMMYFUNCTION("""COMPUTED_VALUE"""),1.0)</f>
        <v>1</v>
      </c>
      <c r="H14" s="2">
        <f>IFERROR(__xludf.DUMMYFUNCTION("""COMPUTED_VALUE"""),1.0)</f>
        <v>1</v>
      </c>
      <c r="I14" s="2">
        <f>IFERROR(__xludf.DUMMYFUNCTION("""COMPUTED_VALUE"""),1.0)</f>
        <v>1</v>
      </c>
      <c r="J14" s="2">
        <f>IFERROR(__xludf.DUMMYFUNCTION("""COMPUTED_VALUE"""),0.5)</f>
        <v>0.5</v>
      </c>
      <c r="K14" s="2" t="str">
        <f>IFERROR(__xludf.DUMMYFUNCTION("""COMPUTED_VALUE"""),"5 – High-quality, Clean Bangla speech")</f>
        <v>5 – High-quality, Clean Bangla speech</v>
      </c>
      <c r="L14" s="2" t="str">
        <f>IFERROR(__xludf.DUMMYFUNCTION("""COMPUTED_VALUE"""),"No")</f>
        <v>No</v>
      </c>
    </row>
    <row r="15">
      <c r="A15" s="2" t="str">
        <f>IFERROR(__xludf.DUMMYFUNCTION("""COMPUTED_VALUE"""),"collect\spontaneous\Facebook\BangladeshBetarNews\166df65e-f0bd-4523-a587-c19edfa1145a.flac")</f>
        <v>collect\spontaneous\Facebook\BangladeshBetarNews\166df65e-f0bd-4523-a587-c19edfa1145a.flac</v>
      </c>
      <c r="B15" s="2">
        <f>IFERROR(__xludf.DUMMYFUNCTION("""COMPUTED_VALUE"""),15.0)</f>
        <v>15</v>
      </c>
      <c r="C15" s="2" t="str">
        <f>IFERROR(__xludf.DUMMYFUNCTION("""COMPUTED_VALUE"""),"ও যক্ষার ওষুধ, স্যানিটারি ন্যাপকিন, ডায়াপার, হাতে তৈরি বিস্কুট ও মিষ্টির বাজেটে রাজস্ব খাতের প্রস্তাব নিয়ে। এবারে শুনুন একটি প্রতিবেদনআগামী দুই হাজার তেইশ চব্বিশ অর্থবছরের বিশাল বাজেটের, অর্থের")</f>
        <v>ও যক্ষার ওষুধ, স্যানিটারি ন্যাপকিন, ডায়াপার, হাতে তৈরি বিস্কুট ও মিষ্টির বাজেটে রাজস্ব খাতের প্রস্তাব নিয়ে। এবারে শুনুন একটি প্রতিবেদনআগামী দুই হাজার তেইশ চব্বিশ অর্থবছরের বিশাল বাজেটের, অর্থের</v>
      </c>
      <c r="D15" s="2" t="str">
        <f>IFERROR(__xludf.DUMMYFUNCTION("""COMPUTED_VALUE"""),"No")</f>
        <v>No</v>
      </c>
      <c r="E15" s="2" t="str">
        <f>IFERROR(__xludf.DUMMYFUNCTION("""COMPUTED_VALUE"""),"No")</f>
        <v>No</v>
      </c>
      <c r="F15" s="2" t="str">
        <f>IFERROR(__xludf.DUMMYFUNCTION("""COMPUTED_VALUE"""),"No")</f>
        <v>No</v>
      </c>
      <c r="G15" s="2">
        <f>IFERROR(__xludf.DUMMYFUNCTION("""COMPUTED_VALUE"""),1.0)</f>
        <v>1</v>
      </c>
      <c r="H15" s="2">
        <f>IFERROR(__xludf.DUMMYFUNCTION("""COMPUTED_VALUE"""),0.0)</f>
        <v>0</v>
      </c>
      <c r="I15" s="2">
        <f>IFERROR(__xludf.DUMMYFUNCTION("""COMPUTED_VALUE"""),1.0)</f>
        <v>1</v>
      </c>
      <c r="J15" s="2">
        <f>IFERROR(__xludf.DUMMYFUNCTION("""COMPUTED_VALUE"""),0.0)</f>
        <v>0</v>
      </c>
      <c r="K15" s="2" t="str">
        <f>IFERROR(__xludf.DUMMYFUNCTION("""COMPUTED_VALUE"""),"5 – High-quality, Clean Bangla speech")</f>
        <v>5 – High-quality, Clean Bangla speech</v>
      </c>
      <c r="L15" s="2" t="str">
        <f>IFERROR(__xludf.DUMMYFUNCTION("""COMPUTED_VALUE"""),"No")</f>
        <v>No</v>
      </c>
    </row>
    <row r="16">
      <c r="A16" s="2" t="str">
        <f>IFERROR(__xludf.DUMMYFUNCTION("""COMPUTED_VALUE"""),"collect\spontaneous\Facebook\BangladeshBetarNews\1a746782-bccf-481a-9de7-00c2fcdbd9fd.flac")</f>
        <v>collect\spontaneous\Facebook\BangladeshBetarNews\1a746782-bccf-481a-9de7-00c2fcdbd9fd.flac</v>
      </c>
      <c r="B16" s="2">
        <f>IFERROR(__xludf.DUMMYFUNCTION("""COMPUTED_VALUE"""),15.0)</f>
        <v>15</v>
      </c>
      <c r="C16" s="2" t="str">
        <f>IFERROR(__xludf.DUMMYFUNCTION("""COMPUTED_VALUE"""),"্থানে বৃষ্টিপাত হওয়ায়। ধীরে ধীরে কমতে শুরু করেছে তাপমাত্রা। ঢাকায় মাঝারি বর্ষণের পূর্বাভাস দিয়ে আবহাওয়া অধিদপ্তর বলেছে, উত্তরবঙ্গে আরও বেশ কয়েকদিন অব্যাহত থাকবে তাপওপ্রবাহ। বিস্তারিত শুনুন প্রতিবেদনে")</f>
        <v>্থানে বৃষ্টিপাত হওয়ায়। ধীরে ধীরে কমতে শুরু করেছে তাপমাত্রা। ঢাকায় মাঝারি বর্ষণের পূর্বাভাস দিয়ে আবহাওয়া অধিদপ্তর বলেছে, উত্তরবঙ্গে আরও বেশ কয়েকদিন অব্যাহত থাকবে তাপওপ্রবাহ। বিস্তারিত শুনুন প্রতিবেদনে</v>
      </c>
      <c r="D16" s="2" t="str">
        <f>IFERROR(__xludf.DUMMYFUNCTION("""COMPUTED_VALUE"""),"Yes")</f>
        <v>Yes</v>
      </c>
      <c r="E16" s="2" t="str">
        <f>IFERROR(__xludf.DUMMYFUNCTION("""COMPUTED_VALUE"""),"No")</f>
        <v>No</v>
      </c>
      <c r="F16" s="2" t="str">
        <f>IFERROR(__xludf.DUMMYFUNCTION("""COMPUTED_VALUE"""),"Yes")</f>
        <v>Yes</v>
      </c>
      <c r="G16" s="2">
        <f>IFERROR(__xludf.DUMMYFUNCTION("""COMPUTED_VALUE"""),0.5)</f>
        <v>0.5</v>
      </c>
      <c r="H16" s="2">
        <f>IFERROR(__xludf.DUMMYFUNCTION("""COMPUTED_VALUE"""),1.0)</f>
        <v>1</v>
      </c>
      <c r="I16" s="2">
        <f>IFERROR(__xludf.DUMMYFUNCTION("""COMPUTED_VALUE"""),1.0)</f>
        <v>1</v>
      </c>
      <c r="J16" s="2">
        <f>IFERROR(__xludf.DUMMYFUNCTION("""COMPUTED_VALUE"""),0.5)</f>
        <v>0.5</v>
      </c>
      <c r="K16" s="2" t="str">
        <f>IFERROR(__xludf.DUMMYFUNCTION("""COMPUTED_VALUE"""),"3 – Mixed language or inconsistent quality")</f>
        <v>3 – Mixed language or inconsistent quality</v>
      </c>
      <c r="L16" s="2" t="str">
        <f>IFERROR(__xludf.DUMMYFUNCTION("""COMPUTED_VALUE"""),"No")</f>
        <v>No</v>
      </c>
    </row>
    <row r="17">
      <c r="A17" s="2" t="str">
        <f>IFERROR(__xludf.DUMMYFUNCTION("""COMPUTED_VALUE"""),"collect\spontaneous\Facebook\BangladeshBetarNews\1c742a74-95f9-467f-9e64-aafa7ddd4590.flac")</f>
        <v>collect\spontaneous\Facebook\BangladeshBetarNews\1c742a74-95f9-467f-9e64-aafa7ddd4590.flac</v>
      </c>
      <c r="B17" s="2">
        <f>IFERROR(__xludf.DUMMYFUNCTION("""COMPUTED_VALUE"""),15.0)</f>
        <v>15</v>
      </c>
      <c r="C17" s="2" t="str">
        <f>IFERROR(__xludf.DUMMYFUNCTION("""COMPUTED_VALUE"""),"চালিয়ে যাচ্ছে সরকার। প্রকৃতি ও পরিবেশ সংরক্ষণে জনসচেতনতা সৃষ্টির লক্ষ্যে বিশ্বের অন্যান্য স্থানের মতো আজ দেশে বিশ্ব পরিবেশ দিবস পালিত হচ্ছে। এ বছর দিবসটির প্রতিপাদ্য হচ্ছে প্লাস্টিক দূষণ সমাধান")</f>
        <v>চালিয়ে যাচ্ছে সরকার। প্রকৃতি ও পরিবেশ সংরক্ষণে জনসচেতনতা সৃষ্টির লক্ষ্যে বিশ্বের অন্যান্য স্থানের মতো আজ দেশে বিশ্ব পরিবেশ দিবস পালিত হচ্ছে। এ বছর দিবসটির প্রতিপাদ্য হচ্ছে প্লাস্টিক দূষণ সমাধান</v>
      </c>
      <c r="D17" s="2" t="str">
        <f>IFERROR(__xludf.DUMMYFUNCTION("""COMPUTED_VALUE"""),"Yes")</f>
        <v>Yes</v>
      </c>
      <c r="E17" s="2" t="str">
        <f>IFERROR(__xludf.DUMMYFUNCTION("""COMPUTED_VALUE"""),"No")</f>
        <v>No</v>
      </c>
      <c r="F17" s="2" t="str">
        <f>IFERROR(__xludf.DUMMYFUNCTION("""COMPUTED_VALUE"""),"No")</f>
        <v>No</v>
      </c>
      <c r="G17" s="2">
        <f>IFERROR(__xludf.DUMMYFUNCTION("""COMPUTED_VALUE"""),1.0)</f>
        <v>1</v>
      </c>
      <c r="H17" s="2">
        <f>IFERROR(__xludf.DUMMYFUNCTION("""COMPUTED_VALUE"""),1.0)</f>
        <v>1</v>
      </c>
      <c r="I17" s="2">
        <f>IFERROR(__xludf.DUMMYFUNCTION("""COMPUTED_VALUE"""),1.0)</f>
        <v>1</v>
      </c>
      <c r="J17" s="2">
        <f>IFERROR(__xludf.DUMMYFUNCTION("""COMPUTED_VALUE"""),1.0)</f>
        <v>1</v>
      </c>
      <c r="K17" s="2" t="str">
        <f>IFERROR(__xludf.DUMMYFUNCTION("""COMPUTED_VALUE"""),"5 – High-quality, Clean Bangla speech")</f>
        <v>5 – High-quality, Clean Bangla speech</v>
      </c>
      <c r="L17" s="2" t="str">
        <f>IFERROR(__xludf.DUMMYFUNCTION("""COMPUTED_VALUE"""),"No")</f>
        <v>No</v>
      </c>
    </row>
    <row r="18">
      <c r="A18" s="2" t="str">
        <f>IFERROR(__xludf.DUMMYFUNCTION("""COMPUTED_VALUE"""),"collect\spontaneous\Facebook\BangladeshBetarNews\1db7a637-568b-414b-af61-4894c3324a88.flac")</f>
        <v>collect\spontaneous\Facebook\BangladeshBetarNews\1db7a637-568b-414b-af61-4894c3324a88.flac</v>
      </c>
      <c r="B18" s="2">
        <f>IFERROR(__xludf.DUMMYFUNCTION("""COMPUTED_VALUE"""),15.0)</f>
        <v>15</v>
      </c>
      <c r="C18" s="2" t="str">
        <f>IFERROR(__xludf.DUMMYFUNCTION("""COMPUTED_VALUE"""),"আরও দশ জন মারা গেছে এ নিয়ে। এ বছর এ পর্যন্ত ডেঙ্গুতে মৃতের সংখ্যা দাঁড়ালো তিনশো তেরো। স্বাস্থ্য অধিদপ্তরে এক বিজ্ঞপ্তিতে আজ এ কথা জানানো হয়। এ সময় হাসপাতালে ভর্তি হয়েছে দুই হাজার সাতশো চৌষট্টি জন রোগী।")</f>
        <v>আরও দশ জন মারা গেছে এ নিয়ে। এ বছর এ পর্যন্ত ডেঙ্গুতে মৃতের সংখ্যা দাঁড়ালো তিনশো তেরো। স্বাস্থ্য অধিদপ্তরে এক বিজ্ঞপ্তিতে আজ এ কথা জানানো হয়। এ সময় হাসপাতালে ভর্তি হয়েছে দুই হাজার সাতশো চৌষট্টি জন রোগী।</v>
      </c>
      <c r="D18" s="2" t="str">
        <f>IFERROR(__xludf.DUMMYFUNCTION("""COMPUTED_VALUE"""),"Yes")</f>
        <v>Yes</v>
      </c>
      <c r="E18" s="2" t="str">
        <f>IFERROR(__xludf.DUMMYFUNCTION("""COMPUTED_VALUE"""),"No")</f>
        <v>No</v>
      </c>
      <c r="F18" s="2" t="str">
        <f>IFERROR(__xludf.DUMMYFUNCTION("""COMPUTED_VALUE"""),"No")</f>
        <v>No</v>
      </c>
      <c r="G18" s="2">
        <f>IFERROR(__xludf.DUMMYFUNCTION("""COMPUTED_VALUE"""),1.0)</f>
        <v>1</v>
      </c>
      <c r="H18" s="2">
        <f>IFERROR(__xludf.DUMMYFUNCTION("""COMPUTED_VALUE"""),1.0)</f>
        <v>1</v>
      </c>
      <c r="I18" s="2">
        <f>IFERROR(__xludf.DUMMYFUNCTION("""COMPUTED_VALUE"""),1.0)</f>
        <v>1</v>
      </c>
      <c r="J18" s="2">
        <f>IFERROR(__xludf.DUMMYFUNCTION("""COMPUTED_VALUE"""),0.5)</f>
        <v>0.5</v>
      </c>
      <c r="K18" s="2" t="str">
        <f>IFERROR(__xludf.DUMMYFUNCTION("""COMPUTED_VALUE"""),"5 – High-quality, Clean Bangla speech")</f>
        <v>5 – High-quality, Clean Bangla speech</v>
      </c>
      <c r="L18" s="2" t="str">
        <f>IFERROR(__xludf.DUMMYFUNCTION("""COMPUTED_VALUE"""),"No")</f>
        <v>No</v>
      </c>
    </row>
    <row r="19">
      <c r="A19" s="2" t="str">
        <f>IFERROR(__xludf.DUMMYFUNCTION("""COMPUTED_VALUE"""),"collect\spontaneous\Facebook\BangladeshBetarNews\21b182b3-1919-4073-b2ba-1edb63bfb140.flac")</f>
        <v>collect\spontaneous\Facebook\BangladeshBetarNews\21b182b3-1919-4073-b2ba-1edb63bfb140.flac</v>
      </c>
      <c r="B19" s="2">
        <f>IFERROR(__xludf.DUMMYFUNCTION("""COMPUTED_VALUE"""),15.0)</f>
        <v>15</v>
      </c>
      <c r="C19" s="2" t="str">
        <f>IFERROR(__xludf.DUMMYFUNCTION("""COMPUTED_VALUE"""),"তরপরও সংগ্রাত যারা করতে আছে তাদেরকে প্রতিনত। তারা খালিমার পেলের সংজ্ঞা করবে এটা সবাই জাগি এবং সেখ প্রস্তুতি তারা নিচ্ছি। তারা মনে করে")</f>
        <v>তরপরও সংগ্রাত যারা করতে আছে তাদেরকে প্রতিনত। তারা খালিমার পেলের সংজ্ঞা করবে এটা সবাই জাগি এবং সেখ প্রস্তুতি তারা নিচ্ছি। তারা মনে করে</v>
      </c>
      <c r="D19" s="2" t="str">
        <f>IFERROR(__xludf.DUMMYFUNCTION("""COMPUTED_VALUE"""),"No")</f>
        <v>No</v>
      </c>
      <c r="E19" s="2" t="str">
        <f>IFERROR(__xludf.DUMMYFUNCTION("""COMPUTED_VALUE"""),"No")</f>
        <v>No</v>
      </c>
      <c r="F19" s="2" t="str">
        <f>IFERROR(__xludf.DUMMYFUNCTION("""COMPUTED_VALUE"""),"Yes")</f>
        <v>Yes</v>
      </c>
      <c r="G19" s="2">
        <f>IFERROR(__xludf.DUMMYFUNCTION("""COMPUTED_VALUE"""),0.0)</f>
        <v>0</v>
      </c>
      <c r="H19" s="2">
        <f>IFERROR(__xludf.DUMMYFUNCTION("""COMPUTED_VALUE"""),0.5)</f>
        <v>0.5</v>
      </c>
      <c r="I19" s="2">
        <f>IFERROR(__xludf.DUMMYFUNCTION("""COMPUTED_VALUE"""),0.0)</f>
        <v>0</v>
      </c>
      <c r="J19" s="2">
        <f>IFERROR(__xludf.DUMMYFUNCTION("""COMPUTED_VALUE"""),0.0)</f>
        <v>0</v>
      </c>
      <c r="K19" s="2" t="str">
        <f>IFERROR(__xludf.DUMMYFUNCTION("""COMPUTED_VALUE"""),"2 - Poor quality Noisy, unclear,")</f>
        <v>2 - Poor quality Noisy, unclear,</v>
      </c>
      <c r="L19" s="2" t="str">
        <f>IFERROR(__xludf.DUMMYFUNCTION("""COMPUTED_VALUE"""),"No")</f>
        <v>No</v>
      </c>
    </row>
    <row r="20">
      <c r="A20" s="2" t="str">
        <f>IFERROR(__xludf.DUMMYFUNCTION("""COMPUTED_VALUE"""),"collect\spontaneous\Facebook\BangladeshBetarNews\29e88742-9e4c-45c4-bf82-758cf03e46a0.flac")</f>
        <v>collect\spontaneous\Facebook\BangladeshBetarNews\29e88742-9e4c-45c4-bf82-758cf03e46a0.flac</v>
      </c>
      <c r="B20" s="2">
        <f>IFERROR(__xludf.DUMMYFUNCTION("""COMPUTED_VALUE"""),15.0)</f>
        <v>15</v>
      </c>
      <c r="C20" s="2" t="str">
        <f>IFERROR(__xludf.DUMMYFUNCTION("""COMPUTED_VALUE"""),"সঠিক চিত্র পরিস্ফূটন না করাটা এক ধরনের ইন্টেলেকচুয়াল। ডক্টর হাছান মাহমুদ বলেন, প্রধানমন্ত্রী শেখ হাসিনা টেকসই উন্নয়নে বিশ্বাস করেন। আর টেকসই উন্নয়নের জন্য প্রয়োজন দীর্ঘমেয়া,")</f>
        <v>সঠিক চিত্র পরিস্ফূটন না করাটা এক ধরনের ইন্টেলেকচুয়াল। ডক্টর হাছান মাহমুদ বলেন, প্রধানমন্ত্রী শেখ হাসিনা টেকসই উন্নয়নে বিশ্বাস করেন। আর টেকসই উন্নয়নের জন্য প্রয়োজন দীর্ঘমেয়া,</v>
      </c>
      <c r="D20" s="2" t="str">
        <f>IFERROR(__xludf.DUMMYFUNCTION("""COMPUTED_VALUE"""),"Yes")</f>
        <v>Yes</v>
      </c>
      <c r="E20" s="2" t="str">
        <f>IFERROR(__xludf.DUMMYFUNCTION("""COMPUTED_VALUE"""),"Yes")</f>
        <v>Yes</v>
      </c>
      <c r="F20" s="2" t="str">
        <f>IFERROR(__xludf.DUMMYFUNCTION("""COMPUTED_VALUE"""),"No")</f>
        <v>No</v>
      </c>
      <c r="G20" s="2">
        <f>IFERROR(__xludf.DUMMYFUNCTION("""COMPUTED_VALUE"""),0.5)</f>
        <v>0.5</v>
      </c>
      <c r="H20" s="2">
        <f>IFERROR(__xludf.DUMMYFUNCTION("""COMPUTED_VALUE"""),1.0)</f>
        <v>1</v>
      </c>
      <c r="I20" s="2">
        <f>IFERROR(__xludf.DUMMYFUNCTION("""COMPUTED_VALUE"""),1.0)</f>
        <v>1</v>
      </c>
      <c r="J20" s="2">
        <f>IFERROR(__xludf.DUMMYFUNCTION("""COMPUTED_VALUE"""),0.5)</f>
        <v>0.5</v>
      </c>
      <c r="K20" s="2" t="str">
        <f>IFERROR(__xludf.DUMMYFUNCTION("""COMPUTED_VALUE"""),"5 – High-quality, Clean Bangla speech")</f>
        <v>5 – High-quality, Clean Bangla speech</v>
      </c>
      <c r="L20" s="2" t="str">
        <f>IFERROR(__xludf.DUMMYFUNCTION("""COMPUTED_VALUE"""),"No")</f>
        <v>No</v>
      </c>
    </row>
    <row r="21">
      <c r="A21" s="2" t="str">
        <f>IFERROR(__xludf.DUMMYFUNCTION("""COMPUTED_VALUE"""),"collect\spontaneous\Facebook\BangladeshBetarNews\4d080456-91bc-4238-ac01-a7880f96136a.flac")</f>
        <v>collect\spontaneous\Facebook\BangladeshBetarNews\4d080456-91bc-4238-ac01-a7880f96136a.flac</v>
      </c>
      <c r="B21" s="2">
        <f>IFERROR(__xludf.DUMMYFUNCTION("""COMPUTED_VALUE"""),15.0)</f>
        <v>15</v>
      </c>
      <c r="C21" s="2" t="str">
        <f>IFERROR(__xludf.DUMMYFUNCTION("""COMPUTED_VALUE"""),"এবার। নিরাপত্তা আইন কারো কণ্ঠরোধের জন্য নয় বরং সাইবার জগতের নিরাপত্তার জন্য মন্তব্য আইনমন্ত্রীর; চব্বিশ ঘণ্টায় ডেঙ্গুতে আরও বারো জনের মৃত্যু। চলতি বছর মৃতের সংখ্যা তিনশো চৌষট্টি জনে উন্নীত।")</f>
        <v>এবার। নিরাপত্তা আইন কারো কণ্ঠরোধের জন্য নয় বরং সাইবার জগতের নিরাপত্তার জন্য মন্তব্য আইনমন্ত্রীর; চব্বিশ ঘণ্টায় ডেঙ্গুতে আরও বারো জনের মৃত্যু। চলতি বছর মৃতের সংখ্যা তিনশো চৌষট্টি জনে উন্নীত।</v>
      </c>
      <c r="D21" s="2" t="str">
        <f>IFERROR(__xludf.DUMMYFUNCTION("""COMPUTED_VALUE"""),"Yes")</f>
        <v>Yes</v>
      </c>
      <c r="E21" s="2" t="str">
        <f>IFERROR(__xludf.DUMMYFUNCTION("""COMPUTED_VALUE"""),"No")</f>
        <v>No</v>
      </c>
      <c r="F21" s="2" t="str">
        <f>IFERROR(__xludf.DUMMYFUNCTION("""COMPUTED_VALUE"""),"No")</f>
        <v>No</v>
      </c>
      <c r="G21" s="2">
        <f>IFERROR(__xludf.DUMMYFUNCTION("""COMPUTED_VALUE"""),1.0)</f>
        <v>1</v>
      </c>
      <c r="H21" s="2">
        <f>IFERROR(__xludf.DUMMYFUNCTION("""COMPUTED_VALUE"""),1.0)</f>
        <v>1</v>
      </c>
      <c r="I21" s="2">
        <f>IFERROR(__xludf.DUMMYFUNCTION("""COMPUTED_VALUE"""),1.0)</f>
        <v>1</v>
      </c>
      <c r="J21" s="2">
        <f>IFERROR(__xludf.DUMMYFUNCTION("""COMPUTED_VALUE"""),0.5)</f>
        <v>0.5</v>
      </c>
      <c r="K21" s="2" t="str">
        <f>IFERROR(__xludf.DUMMYFUNCTION("""COMPUTED_VALUE"""),"5 – High-quality, Clean Bangla speech")</f>
        <v>5 – High-quality, Clean Bangla speech</v>
      </c>
      <c r="L21" s="2" t="str">
        <f>IFERROR(__xludf.DUMMYFUNCTION("""COMPUTED_VALUE"""),"No")</f>
        <v>No</v>
      </c>
    </row>
    <row r="22">
      <c r="A22" s="2" t="str">
        <f>IFERROR(__xludf.DUMMYFUNCTION("""COMPUTED_VALUE"""),"collect\spontaneous\Facebook\BangladeshBetarNews\34961fd3-c131-4026-a79e-3600dc623c27.flac")</f>
        <v>collect\spontaneous\Facebook\BangladeshBetarNews\34961fd3-c131-4026-a79e-3600dc623c27.flac</v>
      </c>
      <c r="B22" s="2">
        <f>IFERROR(__xludf.DUMMYFUNCTION("""COMPUTED_VALUE"""),13.0)</f>
        <v>13</v>
      </c>
      <c r="C22" s="2" t="str">
        <f>IFERROR(__xludf.DUMMYFUNCTION("""COMPUTED_VALUE"""),"রাত আটটা বন্ধ থাকবে। শুক্রবারএক দ্শকের বেশি সময় যুদ্ধের পর প্রথমবারের মতো আরব লীগ শীর্ষ সম্মেলনে যোগ দিতে সৌদি আরবে অবস্থান করছেন সিরিয়ার প্রেসিডেন্ট বাশার আল আসাদ।")</f>
        <v>রাত আটটা বন্ধ থাকবে। শুক্রবারএক দ্শকের বেশি সময় যুদ্ধের পর প্রথমবারের মতো আরব লীগ শীর্ষ সম্মেলনে যোগ দিতে সৌদি আরবে অবস্থান করছেন সিরিয়ার প্রেসিডেন্ট বাশার আল আসাদ।</v>
      </c>
      <c r="D22" s="2" t="str">
        <f>IFERROR(__xludf.DUMMYFUNCTION("""COMPUTED_VALUE"""),"Yes")</f>
        <v>Yes</v>
      </c>
      <c r="E22" s="2" t="str">
        <f>IFERROR(__xludf.DUMMYFUNCTION("""COMPUTED_VALUE"""),"No")</f>
        <v>No</v>
      </c>
      <c r="F22" s="2" t="str">
        <f>IFERROR(__xludf.DUMMYFUNCTION("""COMPUTED_VALUE"""),"No")</f>
        <v>No</v>
      </c>
      <c r="G22" s="2">
        <f>IFERROR(__xludf.DUMMYFUNCTION("""COMPUTED_VALUE"""),1.0)</f>
        <v>1</v>
      </c>
      <c r="H22" s="2">
        <f>IFERROR(__xludf.DUMMYFUNCTION("""COMPUTED_VALUE"""),1.0)</f>
        <v>1</v>
      </c>
      <c r="I22" s="2">
        <f>IFERROR(__xludf.DUMMYFUNCTION("""COMPUTED_VALUE"""),1.0)</f>
        <v>1</v>
      </c>
      <c r="J22" s="2">
        <f>IFERROR(__xludf.DUMMYFUNCTION("""COMPUTED_VALUE"""),0.0)</f>
        <v>0</v>
      </c>
      <c r="K22" s="2" t="str">
        <f>IFERROR(__xludf.DUMMYFUNCTION("""COMPUTED_VALUE"""),"5 – High-quality, Clean Bangla speech")</f>
        <v>5 – High-quality, Clean Bangla speech</v>
      </c>
      <c r="L22" s="2" t="str">
        <f>IFERROR(__xludf.DUMMYFUNCTION("""COMPUTED_VALUE"""),"No")</f>
        <v>No</v>
      </c>
    </row>
    <row r="23">
      <c r="A23" s="2" t="str">
        <f>IFERROR(__xludf.DUMMYFUNCTION("""COMPUTED_VALUE"""),"collect\spontaneous\Facebook\BangladeshBetarNews\3537a4d6-6ce8-4823-aea9-a33a9b9dbaaa.flac")</f>
        <v>collect\spontaneous\Facebook\BangladeshBetarNews\3537a4d6-6ce8-4823-aea9-a33a9b9dbaaa.flac</v>
      </c>
      <c r="B23" s="2">
        <f>IFERROR(__xludf.DUMMYFUNCTION("""COMPUTED_VALUE"""),15.0)</f>
        <v>15</v>
      </c>
      <c r="C23" s="2" t="str">
        <f>IFERROR(__xludf.DUMMYFUNCTION("""COMPUTED_VALUE"""),"প্রশংসা করেছে কর্তৃপক্ষে। মাননীয় প্রধানমন্ত্রীর এই সফর এত বেশি সফল সেটি দেখে তাদেরকে আত্রদাহ হচ্ছে। সেই গাত্রদাহ এবং হতাশা থেকে মির্জা ফখরেস আলমগুর সাহেব সর্বোচ্চ")</f>
        <v>প্রশংসা করেছে কর্তৃপক্ষে। মাননীয় প্রধানমন্ত্রীর এই সফর এত বেশি সফল সেটি দেখে তাদেরকে আত্রদাহ হচ্ছে। সেই গাত্রদাহ এবং হতাশা থেকে মির্জা ফখরেস আলমগুর সাহেব সর্বোচ্চ</v>
      </c>
      <c r="D23" s="2" t="str">
        <f>IFERROR(__xludf.DUMMYFUNCTION("""COMPUTED_VALUE"""),"No")</f>
        <v>No</v>
      </c>
      <c r="E23" s="2" t="str">
        <f>IFERROR(__xludf.DUMMYFUNCTION("""COMPUTED_VALUE"""),"No")</f>
        <v>No</v>
      </c>
      <c r="F23" s="2" t="str">
        <f>IFERROR(__xludf.DUMMYFUNCTION("""COMPUTED_VALUE"""),"Yes")</f>
        <v>Yes</v>
      </c>
      <c r="G23" s="2">
        <f>IFERROR(__xludf.DUMMYFUNCTION("""COMPUTED_VALUE"""),0.5)</f>
        <v>0.5</v>
      </c>
      <c r="H23" s="2">
        <f>IFERROR(__xludf.DUMMYFUNCTION("""COMPUTED_VALUE"""),0.5)</f>
        <v>0.5</v>
      </c>
      <c r="I23" s="2">
        <f>IFERROR(__xludf.DUMMYFUNCTION("""COMPUTED_VALUE"""),0.5)</f>
        <v>0.5</v>
      </c>
      <c r="J23" s="2">
        <f>IFERROR(__xludf.DUMMYFUNCTION("""COMPUTED_VALUE"""),0.5)</f>
        <v>0.5</v>
      </c>
      <c r="K23" s="2" t="str">
        <f>IFERROR(__xludf.DUMMYFUNCTION("""COMPUTED_VALUE"""),"3 – Mixed language or inconsistent quality")</f>
        <v>3 – Mixed language or inconsistent quality</v>
      </c>
      <c r="L23" s="2" t="str">
        <f>IFERROR(__xludf.DUMMYFUNCTION("""COMPUTED_VALUE"""),"No")</f>
        <v>No</v>
      </c>
    </row>
    <row r="24">
      <c r="A24" s="2" t="str">
        <f>IFERROR(__xludf.DUMMYFUNCTION("""COMPUTED_VALUE"""),"collect\spontaneous\Facebook\BangladeshBetarNews\3574c518-c4b2-42f1-a27b-28ea54ab71b5.flac")</f>
        <v>collect\spontaneous\Facebook\BangladeshBetarNews\3574c518-c4b2-42f1-a27b-28ea54ab71b5.flac</v>
      </c>
      <c r="B24" s="2">
        <f>IFERROR(__xludf.DUMMYFUNCTION("""COMPUTED_VALUE"""),15.0)</f>
        <v>15</v>
      </c>
      <c r="C24" s="2" t="str">
        <f>IFERROR(__xludf.DUMMYFUNCTION("""COMPUTED_VALUE"""),"ম্যাচ? শিরোনাম শুনলেন মেইডিন বাংলাদেশ। এই স্লোগান সামনে দিয়ে আমাদেরকে এগিয়ে যেতে হবে। আমরা চাই আমাদের দেশটা এগিয়ে যাক।")</f>
        <v>ম্যাচ? শিরোনাম শুনলেন মেইডিন বাংলাদেশ। এই স্লোগান সামনে দিয়ে আমাদেরকে এগিয়ে যেতে হবে। আমরা চাই আমাদের দেশটা এগিয়ে যাক।</v>
      </c>
      <c r="D24" s="2" t="str">
        <f>IFERROR(__xludf.DUMMYFUNCTION("""COMPUTED_VALUE"""),"Yes")</f>
        <v>Yes</v>
      </c>
      <c r="E24" s="2" t="str">
        <f>IFERROR(__xludf.DUMMYFUNCTION("""COMPUTED_VALUE"""),"No")</f>
        <v>No</v>
      </c>
      <c r="F24" s="2" t="str">
        <f>IFERROR(__xludf.DUMMYFUNCTION("""COMPUTED_VALUE"""),"Yes")</f>
        <v>Yes</v>
      </c>
      <c r="G24" s="2">
        <f>IFERROR(__xludf.DUMMYFUNCTION("""COMPUTED_VALUE"""),0.5)</f>
        <v>0.5</v>
      </c>
      <c r="H24" s="2">
        <f>IFERROR(__xludf.DUMMYFUNCTION("""COMPUTED_VALUE"""),0.5)</f>
        <v>0.5</v>
      </c>
      <c r="I24" s="2">
        <f>IFERROR(__xludf.DUMMYFUNCTION("""COMPUTED_VALUE"""),1.0)</f>
        <v>1</v>
      </c>
      <c r="J24" s="2">
        <f>IFERROR(__xludf.DUMMYFUNCTION("""COMPUTED_VALUE"""),0.5)</f>
        <v>0.5</v>
      </c>
      <c r="K24" s="2" t="str">
        <f>IFERROR(__xludf.DUMMYFUNCTION("""COMPUTED_VALUE"""),"5 – High-quality, Clean Bangla speech")</f>
        <v>5 – High-quality, Clean Bangla speech</v>
      </c>
      <c r="L24" s="2" t="str">
        <f>IFERROR(__xludf.DUMMYFUNCTION("""COMPUTED_VALUE"""),"No")</f>
        <v>No</v>
      </c>
    </row>
    <row r="25">
      <c r="A25" s="2" t="str">
        <f>IFERROR(__xludf.DUMMYFUNCTION("""COMPUTED_VALUE"""),"collect\spontaneous\Facebook\BangladeshBetarNews\35d35e4f-cb08-463d-9afa-624af35c772a.flac")</f>
        <v>collect\spontaneous\Facebook\BangladeshBetarNews\35d35e4f-cb08-463d-9afa-624af35c772a.flac</v>
      </c>
      <c r="B25" s="2">
        <f>IFERROR(__xludf.DUMMYFUNCTION("""COMPUTED_VALUE"""),15.0)</f>
        <v>15</v>
      </c>
      <c r="C25" s="2" t="str">
        <f>IFERROR(__xludf.DUMMYFUNCTION("""COMPUTED_VALUE"""),"বেতার খবর পড়ছি। পারভীন আহসান শুরুতেই শিরোনাম দু হাজার একচল্লিশ সালের মধ্যে বাংলাদেশকে উন্নত সমৃদ্ধ দেশ হিসেবে গড়ে তুলতে তৃণমূল পর্যন্ত জবাবদিহিতা নিশ্চিত করতে সরকার")</f>
        <v>বেতার খবর পড়ছি। পারভীন আহসান শুরুতেই শিরোনাম দু হাজার একচল্লিশ সালের মধ্যে বাংলাদেশকে উন্নত সমৃদ্ধ দেশ হিসেবে গড়ে তুলতে তৃণমূল পর্যন্ত জবাবদিহিতা নিশ্চিত করতে সরকার</v>
      </c>
      <c r="D25" s="2" t="str">
        <f>IFERROR(__xludf.DUMMYFUNCTION("""COMPUTED_VALUE"""),"Yes")</f>
        <v>Yes</v>
      </c>
      <c r="E25" s="2" t="str">
        <f>IFERROR(__xludf.DUMMYFUNCTION("""COMPUTED_VALUE"""),"No")</f>
        <v>No</v>
      </c>
      <c r="F25" s="2" t="str">
        <f>IFERROR(__xludf.DUMMYFUNCTION("""COMPUTED_VALUE"""),"No")</f>
        <v>No</v>
      </c>
      <c r="G25" s="2">
        <f>IFERROR(__xludf.DUMMYFUNCTION("""COMPUTED_VALUE"""),1.0)</f>
        <v>1</v>
      </c>
      <c r="H25" s="2">
        <f>IFERROR(__xludf.DUMMYFUNCTION("""COMPUTED_VALUE"""),1.0)</f>
        <v>1</v>
      </c>
      <c r="I25" s="2">
        <f>IFERROR(__xludf.DUMMYFUNCTION("""COMPUTED_VALUE"""),1.0)</f>
        <v>1</v>
      </c>
      <c r="J25" s="2">
        <f>IFERROR(__xludf.DUMMYFUNCTION("""COMPUTED_VALUE"""),0.5)</f>
        <v>0.5</v>
      </c>
      <c r="K25" s="2" t="str">
        <f>IFERROR(__xludf.DUMMYFUNCTION("""COMPUTED_VALUE"""),"5 – High-quality, Clean Bangla speech")</f>
        <v>5 – High-quality, Clean Bangla speech</v>
      </c>
      <c r="L25" s="2" t="str">
        <f>IFERROR(__xludf.DUMMYFUNCTION("""COMPUTED_VALUE"""),"No")</f>
        <v>No</v>
      </c>
    </row>
    <row r="26">
      <c r="A26" s="2" t="str">
        <f>IFERROR(__xludf.DUMMYFUNCTION("""COMPUTED_VALUE"""),"collect\spontaneous\Facebook\BangladeshBetarNews\361ffaa4-0287-45e3-b29b-9c9cae2b9740.flac")</f>
        <v>collect\spontaneous\Facebook\BangladeshBetarNews\361ffaa4-0287-45e3-b29b-9c9cae2b9740.flac</v>
      </c>
      <c r="B26" s="2">
        <f>IFERROR(__xludf.DUMMYFUNCTION("""COMPUTED_VALUE"""),15.0)</f>
        <v>15</v>
      </c>
      <c r="C26" s="2" t="str">
        <f>IFERROR(__xludf.DUMMYFUNCTION("""COMPUTED_VALUE"""),"উপস্থাপন করা হয় দুই হাজার তেইশ চব্বিশ অর্থবছরের প্রস্তাবিত যায় জাীয় বাজেট সম্পর্কে সাধারণ আলোচনা গতকালও সংসদে অব্যাহত ছিল সংসোদন বৈঠক আজ বিকাল পাঁচটায় আবার বসবি")</f>
        <v>উপস্থাপন করা হয় দুই হাজার তেইশ চব্বিশ অর্থবছরের প্রস্তাবিত যায় জাীয় বাজেট সম্পর্কে সাধারণ আলোচনা গতকালও সংসদে অব্যাহত ছিল সংসোদন বৈঠক আজ বিকাল পাঁচটায় আবার বসবি</v>
      </c>
      <c r="D26" s="2" t="str">
        <f>IFERROR(__xludf.DUMMYFUNCTION("""COMPUTED_VALUE"""),"No")</f>
        <v>No</v>
      </c>
      <c r="E26" s="2" t="str">
        <f>IFERROR(__xludf.DUMMYFUNCTION("""COMPUTED_VALUE"""),"No")</f>
        <v>No</v>
      </c>
      <c r="F26" s="2" t="str">
        <f>IFERROR(__xludf.DUMMYFUNCTION("""COMPUTED_VALUE"""),"Yes")</f>
        <v>Yes</v>
      </c>
      <c r="G26" s="2">
        <f>IFERROR(__xludf.DUMMYFUNCTION("""COMPUTED_VALUE"""),0.5)</f>
        <v>0.5</v>
      </c>
      <c r="H26" s="2">
        <f>IFERROR(__xludf.DUMMYFUNCTION("""COMPUTED_VALUE"""),1.0)</f>
        <v>1</v>
      </c>
      <c r="I26" s="2">
        <f>IFERROR(__xludf.DUMMYFUNCTION("""COMPUTED_VALUE"""),1.0)</f>
        <v>1</v>
      </c>
      <c r="J26" s="2">
        <f>IFERROR(__xludf.DUMMYFUNCTION("""COMPUTED_VALUE"""),0.5)</f>
        <v>0.5</v>
      </c>
      <c r="K26" s="2"/>
      <c r="L26" s="2" t="str">
        <f>IFERROR(__xludf.DUMMYFUNCTION("""COMPUTED_VALUE"""),"No")</f>
        <v>No</v>
      </c>
    </row>
    <row r="27">
      <c r="A27" s="2" t="str">
        <f>IFERROR(__xludf.DUMMYFUNCTION("""COMPUTED_VALUE"""),"collect\spontaneous\Facebook\BangladeshBetarNews\25f8c348-1f1c-45c4-a078-1adffa7207c4.flac")</f>
        <v>collect\spontaneous\Facebook\BangladeshBetarNews\25f8c348-1f1c-45c4-a078-1adffa7207c4.flac</v>
      </c>
      <c r="B27" s="2">
        <f>IFERROR(__xludf.DUMMYFUNCTION("""COMPUTED_VALUE"""),15.0)</f>
        <v>15</v>
      </c>
      <c r="C27" s="2" t="str">
        <f>IFERROR(__xludf.DUMMYFUNCTION("""COMPUTED_VALUE"""),"বাধ্য হয় তৎকালীন সরকার তার মুক্তির মধ্য নিয়ে দেশে ফেরে আসে মানুষের গণতান্ত্রিক অধিকার শোফন ইসলাম বাংলাদেশ পেতার প্রধানমন্ত্রী শেখ হাসিনার তাঁর চক্ষু পরীক্ষার জন্য গতকাল সকালেই রাজধানীর")</f>
        <v>বাধ্য হয় তৎকালীন সরকার তার মুক্তির মধ্য নিয়ে দেশে ফেরে আসে মানুষের গণতান্ত্রিক অধিকার শোফন ইসলাম বাংলাদেশ পেতার প্রধানমন্ত্রী শেখ হাসিনার তাঁর চক্ষু পরীক্ষার জন্য গতকাল সকালেই রাজধানীর</v>
      </c>
      <c r="D27" s="2" t="str">
        <f>IFERROR(__xludf.DUMMYFUNCTION("""COMPUTED_VALUE"""),"Yes")</f>
        <v>Yes</v>
      </c>
      <c r="E27" s="2" t="str">
        <f>IFERROR(__xludf.DUMMYFUNCTION("""COMPUTED_VALUE"""),"No")</f>
        <v>No</v>
      </c>
      <c r="F27" s="2" t="str">
        <f>IFERROR(__xludf.DUMMYFUNCTION("""COMPUTED_VALUE"""),"Yes")</f>
        <v>Yes</v>
      </c>
      <c r="G27" s="2">
        <f>IFERROR(__xludf.DUMMYFUNCTION("""COMPUTED_VALUE"""),0.5)</f>
        <v>0.5</v>
      </c>
      <c r="H27" s="2">
        <f>IFERROR(__xludf.DUMMYFUNCTION("""COMPUTED_VALUE"""),0.5)</f>
        <v>0.5</v>
      </c>
      <c r="I27" s="2">
        <f>IFERROR(__xludf.DUMMYFUNCTION("""COMPUTED_VALUE"""),0.0)</f>
        <v>0</v>
      </c>
      <c r="J27" s="2">
        <f>IFERROR(__xludf.DUMMYFUNCTION("""COMPUTED_VALUE"""),0.5)</f>
        <v>0.5</v>
      </c>
      <c r="K27" s="2" t="str">
        <f>IFERROR(__xludf.DUMMYFUNCTION("""COMPUTED_VALUE"""),"5 – High-quality, Clean Bangla speech")</f>
        <v>5 – High-quality, Clean Bangla speech</v>
      </c>
      <c r="L27" s="2" t="str">
        <f>IFERROR(__xludf.DUMMYFUNCTION("""COMPUTED_VALUE"""),"No")</f>
        <v>No</v>
      </c>
    </row>
    <row r="28">
      <c r="A28" s="2" t="str">
        <f>IFERROR(__xludf.DUMMYFUNCTION("""COMPUTED_VALUE"""),"collect\spontaneous\Facebook\BangladeshBetarNews\0019aa7e-c38c-455e-8211-709fb107b0c8.flac")</f>
        <v>collect\spontaneous\Facebook\BangladeshBetarNews\0019aa7e-c38c-455e-8211-709fb107b0c8.flac</v>
      </c>
      <c r="B28" s="2">
        <f>IFERROR(__xludf.DUMMYFUNCTION("""COMPUTED_VALUE"""),15.0)</f>
        <v>15</v>
      </c>
      <c r="C28" s="2" t="str">
        <f>IFERROR(__xludf.DUMMYFUNCTION("""COMPUTED_VALUE"""),"এ প্রধানমন্ত্রী শেখ হাসিনার সঙ্গে সংযুক্ত আরেব আমিরাতের শিল্প প্রযুক্তি মন ্সাক্ষাৎ বাংলাদেশের জ্বালানি খাতেি তিনিয়োগে আগ্রহী ইএএউই শিক্ষার্থীদের সুক্ত প্রতিভা বিকাশে পান আট্যক্রম বহির্ভূত সী")</f>
        <v>এ প্রধানমন্ত্রী শেখ হাসিনার সঙ্গে সংযুক্ত আরেব আমিরাতের শিল্প প্রযুক্তি মন ্সাক্ষাৎ বাংলাদেশের জ্বালানি খাতেি তিনিয়োগে আগ্রহী ইএএউই শিক্ষার্থীদের সুক্ত প্রতিভা বিকাশে পান আট্যক্রম বহির্ভূত সী</v>
      </c>
      <c r="D28" s="2" t="str">
        <f>IFERROR(__xludf.DUMMYFUNCTION("""COMPUTED_VALUE"""),"No")</f>
        <v>No</v>
      </c>
      <c r="E28" s="2" t="str">
        <f>IFERROR(__xludf.DUMMYFUNCTION("""COMPUTED_VALUE"""),"No")</f>
        <v>No</v>
      </c>
      <c r="F28" s="2" t="str">
        <f>IFERROR(__xludf.DUMMYFUNCTION("""COMPUTED_VALUE"""),"Yes")</f>
        <v>Yes</v>
      </c>
      <c r="G28" s="2">
        <f>IFERROR(__xludf.DUMMYFUNCTION("""COMPUTED_VALUE"""),0.0)</f>
        <v>0</v>
      </c>
      <c r="H28" s="2">
        <f>IFERROR(__xludf.DUMMYFUNCTION("""COMPUTED_VALUE"""),0.0)</f>
        <v>0</v>
      </c>
      <c r="I28" s="2">
        <f>IFERROR(__xludf.DUMMYFUNCTION("""COMPUTED_VALUE"""),0.0)</f>
        <v>0</v>
      </c>
      <c r="J28" s="2">
        <f>IFERROR(__xludf.DUMMYFUNCTION("""COMPUTED_VALUE"""),0.0)</f>
        <v>0</v>
      </c>
      <c r="K28" s="2" t="str">
        <f>IFERROR(__xludf.DUMMYFUNCTION("""COMPUTED_VALUE"""),"4– Usable, minor flaws Minor background noise.")</f>
        <v>4– Usable, minor flaws Minor background noise.</v>
      </c>
      <c r="L28" s="2" t="str">
        <f>IFERROR(__xludf.DUMMYFUNCTION("""COMPUTED_VALUE"""),"No")</f>
        <v>No</v>
      </c>
    </row>
    <row r="29">
      <c r="A29" s="2" t="str">
        <f>IFERROR(__xludf.DUMMYFUNCTION("""COMPUTED_VALUE"""),"collect\spontaneous\Facebook\BangladeshBetarNews\5413f4d3-5b83-48f4-99b4-4c3bb08c01aa.flac")</f>
        <v>collect\spontaneous\Facebook\BangladeshBetarNews\5413f4d3-5b83-48f4-99b4-4c3bb08c01aa.flac</v>
      </c>
      <c r="B29" s="2">
        <f>IFERROR(__xludf.DUMMYFUNCTION("""COMPUTED_VALUE"""),15.0)</f>
        <v>15</v>
      </c>
      <c r="C29" s="2" t="str">
        <f>IFERROR(__xludf.DUMMYFUNCTION("""COMPUTED_VALUE"""),"শ্রমিক অধিকার শুরক্ষণ লক্ষ্যে সারাদেশে বিস্তৃত সাতটি শ্রম আদালত এবং একটি শ্রম আপিল ট্রাইব্যুনাল েবান মাধ্যমে শ্রমিকদের অধিকার সংক্রান্ত দারি ক্ষতিগ্রস্ত শ্রমিকদের আইন এই প্রতীকার পাওয়া বিষয় নিশ্চিত করছে সরকার স বাংলাদেশ")</f>
        <v>শ্রমিক অধিকার শুরক্ষণ লক্ষ্যে সারাদেশে বিস্তৃত সাতটি শ্রম আদালত এবং একটি শ্রম আপিল ট্রাইব্যুনাল েবান মাধ্যমে শ্রমিকদের অধিকার সংক্রান্ত দারি ক্ষতিগ্রস্ত শ্রমিকদের আইন এই প্রতীকার পাওয়া বিষয় নিশ্চিত করছে সরকার স বাংলাদেশ</v>
      </c>
      <c r="D29" s="2" t="str">
        <f>IFERROR(__xludf.DUMMYFUNCTION("""COMPUTED_VALUE"""),"No")</f>
        <v>No</v>
      </c>
      <c r="E29" s="2" t="str">
        <f>IFERROR(__xludf.DUMMYFUNCTION("""COMPUTED_VALUE"""),"No")</f>
        <v>No</v>
      </c>
      <c r="F29" s="2" t="str">
        <f>IFERROR(__xludf.DUMMYFUNCTION("""COMPUTED_VALUE"""),"Yes")</f>
        <v>Yes</v>
      </c>
      <c r="G29" s="2">
        <f>IFERROR(__xludf.DUMMYFUNCTION("""COMPUTED_VALUE"""),0.0)</f>
        <v>0</v>
      </c>
      <c r="H29" s="2">
        <f>IFERROR(__xludf.DUMMYFUNCTION("""COMPUTED_VALUE"""),0.0)</f>
        <v>0</v>
      </c>
      <c r="I29" s="2">
        <f>IFERROR(__xludf.DUMMYFUNCTION("""COMPUTED_VALUE"""),0.0)</f>
        <v>0</v>
      </c>
      <c r="J29" s="2">
        <f>IFERROR(__xludf.DUMMYFUNCTION("""COMPUTED_VALUE"""),0.0)</f>
        <v>0</v>
      </c>
      <c r="K29" s="2" t="str">
        <f>IFERROR(__xludf.DUMMYFUNCTION("""COMPUTED_VALUE"""),"4– Usable, minor flaws Minor background noise.")</f>
        <v>4– Usable, minor flaws Minor background noise.</v>
      </c>
      <c r="L29" s="2" t="str">
        <f>IFERROR(__xludf.DUMMYFUNCTION("""COMPUTED_VALUE"""),"No")</f>
        <v>No</v>
      </c>
    </row>
    <row r="30">
      <c r="A30" s="2" t="str">
        <f>IFERROR(__xludf.DUMMYFUNCTION("""COMPUTED_VALUE"""),"collect\spontaneous\Facebook\BangladeshBetarNews\541866f9-9b41-4ba1-83dd-17af47e5bb8a.flac")</f>
        <v>collect\spontaneous\Facebook\BangladeshBetarNews\541866f9-9b41-4ba1-83dd-17af47e5bb8a.flac</v>
      </c>
      <c r="B30" s="2">
        <f>IFERROR(__xludf.DUMMYFUNCTION("""COMPUTED_VALUE"""),15.0)</f>
        <v>15</v>
      </c>
      <c r="C30" s="2" t="str">
        <f>IFERROR(__xludf.DUMMYFUNCTION("""COMPUTED_VALUE"""),"আসালামু আলাইকুম সকাল সাতটা আজ মঙ্গলবার উনিশএ বৈশাখ ক এগারোই সাওয়াল দোসোরামে বাংলাদেশ পেতার খবর পশ্চিবঞ্জুরুল হক শুরুতেই শিরোনাম")</f>
        <v>আসালামু আলাইকুম সকাল সাতটা আজ মঙ্গলবার উনিশএ বৈশাখ ক এগারোই সাওয়াল দোসোরামে বাংলাদেশ পেতার খবর পশ্চিবঞ্জুরুল হক শুরুতেই শিরোনাম</v>
      </c>
      <c r="D30" s="2" t="str">
        <f>IFERROR(__xludf.DUMMYFUNCTION("""COMPUTED_VALUE"""),"No")</f>
        <v>No</v>
      </c>
      <c r="E30" s="2" t="str">
        <f>IFERROR(__xludf.DUMMYFUNCTION("""COMPUTED_VALUE"""),"No")</f>
        <v>No</v>
      </c>
      <c r="F30" s="2" t="str">
        <f>IFERROR(__xludf.DUMMYFUNCTION("""COMPUTED_VALUE"""),"Yes")</f>
        <v>Yes</v>
      </c>
      <c r="G30" s="2">
        <f>IFERROR(__xludf.DUMMYFUNCTION("""COMPUTED_VALUE"""),0.0)</f>
        <v>0</v>
      </c>
      <c r="H30" s="2">
        <f>IFERROR(__xludf.DUMMYFUNCTION("""COMPUTED_VALUE"""),0.5)</f>
        <v>0.5</v>
      </c>
      <c r="I30" s="2">
        <f>IFERROR(__xludf.DUMMYFUNCTION("""COMPUTED_VALUE"""),0.0)</f>
        <v>0</v>
      </c>
      <c r="J30" s="2">
        <f>IFERROR(__xludf.DUMMYFUNCTION("""COMPUTED_VALUE"""),0.0)</f>
        <v>0</v>
      </c>
      <c r="K30" s="2" t="str">
        <f>IFERROR(__xludf.DUMMYFUNCTION("""COMPUTED_VALUE"""),"5 – High-quality, Clean Bangla speech")</f>
        <v>5 – High-quality, Clean Bangla speech</v>
      </c>
      <c r="L30" s="2" t="str">
        <f>IFERROR(__xludf.DUMMYFUNCTION("""COMPUTED_VALUE"""),"No")</f>
        <v>No</v>
      </c>
    </row>
    <row r="31">
      <c r="A31" s="2" t="str">
        <f>IFERROR(__xludf.DUMMYFUNCTION("""COMPUTED_VALUE"""),"collect\spontaneous\Facebook\BangladeshBetarNews\54db45c9-acb1-4d66-99c1-011149715433.flac")</f>
        <v>collect\spontaneous\Facebook\BangladeshBetarNews\54db45c9-acb1-4d66-99c1-011149715433.flac</v>
      </c>
      <c r="B31" s="2">
        <f>IFERROR(__xludf.DUMMYFUNCTION("""COMPUTED_VALUE"""),15.0)</f>
        <v>15</v>
      </c>
      <c r="C31" s="2" t="str">
        <f>IFERROR(__xludf.DUMMYFUNCTION("""COMPUTED_VALUE"""),"আসালামু আলিকম সকাল সাতটা আজ শনিবার দশই আসার পঁচই জিলহজ চব্বিশ জুন বাংলাদেশ পেতার খবর পড়ছি আফজাল োসিন শুরুতেই শিরোনাম")</f>
        <v>আসালামু আলিকম সকাল সাতটা আজ শনিবার দশই আসার পঁচই জিলহজ চব্বিশ জুন বাংলাদেশ পেতার খবর পড়ছি আফজাল োসিন শুরুতেই শিরোনাম</v>
      </c>
      <c r="D31" s="2" t="str">
        <f>IFERROR(__xludf.DUMMYFUNCTION("""COMPUTED_VALUE"""),"No")</f>
        <v>No</v>
      </c>
      <c r="E31" s="2" t="str">
        <f>IFERROR(__xludf.DUMMYFUNCTION("""COMPUTED_VALUE"""),"No")</f>
        <v>No</v>
      </c>
      <c r="F31" s="2" t="str">
        <f>IFERROR(__xludf.DUMMYFUNCTION("""COMPUTED_VALUE"""),"Yes")</f>
        <v>Yes</v>
      </c>
      <c r="G31" s="2">
        <f>IFERROR(__xludf.DUMMYFUNCTION("""COMPUTED_VALUE"""),0.0)</f>
        <v>0</v>
      </c>
      <c r="H31" s="2">
        <f>IFERROR(__xludf.DUMMYFUNCTION("""COMPUTED_VALUE"""),1.0)</f>
        <v>1</v>
      </c>
      <c r="I31" s="2">
        <f>IFERROR(__xludf.DUMMYFUNCTION("""COMPUTED_VALUE"""),0.5)</f>
        <v>0.5</v>
      </c>
      <c r="J31" s="2">
        <f>IFERROR(__xludf.DUMMYFUNCTION("""COMPUTED_VALUE"""),0.5)</f>
        <v>0.5</v>
      </c>
      <c r="K31" s="2" t="str">
        <f>IFERROR(__xludf.DUMMYFUNCTION("""COMPUTED_VALUE"""),"5 – High-quality, Clean Bangla speech")</f>
        <v>5 – High-quality, Clean Bangla speech</v>
      </c>
      <c r="L31" s="2" t="str">
        <f>IFERROR(__xludf.DUMMYFUNCTION("""COMPUTED_VALUE"""),"No")</f>
        <v>No</v>
      </c>
    </row>
    <row r="32">
      <c r="A32" s="2" t="str">
        <f>IFERROR(__xludf.DUMMYFUNCTION("""COMPUTED_VALUE"""),"collect\spontaneous\Facebook\BangladeshBetarNews\54dc6d0d-2888-4a3b-8afc-2678f77aa3ed.flac")</f>
        <v>collect\spontaneous\Facebook\BangladeshBetarNews\54dc6d0d-2888-4a3b-8afc-2678f77aa3ed.flac</v>
      </c>
      <c r="B32" s="2">
        <f>IFERROR(__xludf.DUMMYFUNCTION("""COMPUTED_VALUE"""),15.0)</f>
        <v>15</v>
      </c>
      <c r="C32" s="2" t="str">
        <f>IFERROR(__xludf.DUMMYFUNCTION("""COMPUTED_VALUE"""),"আছদ ধরে গণতন্ত্র অব্রাহত থাকে বা মাদুশ্বের আরভাতত্ব ন হয়েছে বিবেসিতে দরার সাক্ষাৎ তাদে বললেন প্রসানমন্শী আলোসঙ্গের মাধ্যমে গণতন্তকে বিকরে িতপ্রত্যেশ সবাইকে তাসার আহ্বান রাষ্ট্রপতি")</f>
        <v>আছদ ধরে গণতন্ত্র অব্রাহত থাকে বা মাদুশ্বের আরভাতত্ব ন হয়েছে বিবেসিতে দরার সাক্ষাৎ তাদে বললেন প্রসানমন্শী আলোসঙ্গের মাধ্যমে গণতন্তকে বিকরে িতপ্রত্যেশ সবাইকে তাসার আহ্বান রাষ্ট্রপতি</v>
      </c>
      <c r="D32" s="2" t="str">
        <f>IFERROR(__xludf.DUMMYFUNCTION("""COMPUTED_VALUE"""),"No")</f>
        <v>No</v>
      </c>
      <c r="E32" s="2" t="str">
        <f>IFERROR(__xludf.DUMMYFUNCTION("""COMPUTED_VALUE"""),"Yes")</f>
        <v>Yes</v>
      </c>
      <c r="F32" s="2" t="str">
        <f>IFERROR(__xludf.DUMMYFUNCTION("""COMPUTED_VALUE"""),"Yes")</f>
        <v>Yes</v>
      </c>
      <c r="G32" s="2">
        <f>IFERROR(__xludf.DUMMYFUNCTION("""COMPUTED_VALUE"""),0.0)</f>
        <v>0</v>
      </c>
      <c r="H32" s="2">
        <f>IFERROR(__xludf.DUMMYFUNCTION("""COMPUTED_VALUE"""),0.0)</f>
        <v>0</v>
      </c>
      <c r="I32" s="2">
        <f>IFERROR(__xludf.DUMMYFUNCTION("""COMPUTED_VALUE"""),0.0)</f>
        <v>0</v>
      </c>
      <c r="J32" s="2">
        <f>IFERROR(__xludf.DUMMYFUNCTION("""COMPUTED_VALUE"""),0.0)</f>
        <v>0</v>
      </c>
      <c r="K32" s="2" t="str">
        <f>IFERROR(__xludf.DUMMYFUNCTION("""COMPUTED_VALUE"""),"4– Usable, minor flaws Minor background noise.")</f>
        <v>4– Usable, minor flaws Minor background noise.</v>
      </c>
      <c r="L32" s="2" t="str">
        <f>IFERROR(__xludf.DUMMYFUNCTION("""COMPUTED_VALUE"""),"No")</f>
        <v>No</v>
      </c>
    </row>
    <row r="33">
      <c r="A33" s="2" t="str">
        <f>IFERROR(__xludf.DUMMYFUNCTION("""COMPUTED_VALUE"""),"collect\spontaneous\Facebook\BangladeshBetarNews\556df3ed-bcec-4eaf-a0bb-06683cb864fc.flac")</f>
        <v>collect\spontaneous\Facebook\BangladeshBetarNews\556df3ed-bcec-4eaf-a0bb-06683cb864fc.flac</v>
      </c>
      <c r="B33" s="2">
        <f>IFERROR(__xludf.DUMMYFUNCTION("""COMPUTED_VALUE"""),15.0)</f>
        <v>15</v>
      </c>
      <c r="C33" s="2" t="str">
        <f>IFERROR(__xludf.DUMMYFUNCTION("""COMPUTED_VALUE"""),"এ্ুৎসবউদ্বোধন করবেন ভারত সপুররাতু তথ্য ও সম্প্রচারমন্ত্রী ভুনুদ্ধ সাগরীয় দাবানলে আজি সরিয়া ইতালি এবং গ্রিসে চল্লিশ জনের বেশি মানুষের মৃত্যু এবং সিভা মহিলা বিশ্বকাপ টুর্নামেন্ট")</f>
        <v>এ্ুৎসবউদ্বোধন করবেন ভারত সপুররাতু তথ্য ও সম্প্রচারমন্ত্রী ভুনুদ্ধ সাগরীয় দাবানলে আজি সরিয়া ইতালি এবং গ্রিসে চল্লিশ জনের বেশি মানুষের মৃত্যু এবং সিভা মহিলা বিশ্বকাপ টুর্নামেন্ট</v>
      </c>
      <c r="D33" s="2" t="str">
        <f>IFERROR(__xludf.DUMMYFUNCTION("""COMPUTED_VALUE"""),"No")</f>
        <v>No</v>
      </c>
      <c r="E33" s="2" t="str">
        <f>IFERROR(__xludf.DUMMYFUNCTION("""COMPUTED_VALUE"""),"No")</f>
        <v>No</v>
      </c>
      <c r="F33" s="2" t="str">
        <f>IFERROR(__xludf.DUMMYFUNCTION("""COMPUTED_VALUE"""),"Yes")</f>
        <v>Yes</v>
      </c>
      <c r="G33" s="2">
        <f>IFERROR(__xludf.DUMMYFUNCTION("""COMPUTED_VALUE"""),0.0)</f>
        <v>0</v>
      </c>
      <c r="H33" s="2">
        <f>IFERROR(__xludf.DUMMYFUNCTION("""COMPUTED_VALUE"""),0.0)</f>
        <v>0</v>
      </c>
      <c r="I33" s="2">
        <f>IFERROR(__xludf.DUMMYFUNCTION("""COMPUTED_VALUE"""),0.0)</f>
        <v>0</v>
      </c>
      <c r="J33" s="2">
        <f>IFERROR(__xludf.DUMMYFUNCTION("""COMPUTED_VALUE"""),0.0)</f>
        <v>0</v>
      </c>
      <c r="K33" s="2" t="str">
        <f>IFERROR(__xludf.DUMMYFUNCTION("""COMPUTED_VALUE"""),"5 – High-quality, Clean Bangla speech")</f>
        <v>5 – High-quality, Clean Bangla speech</v>
      </c>
      <c r="L33" s="2" t="str">
        <f>IFERROR(__xludf.DUMMYFUNCTION("""COMPUTED_VALUE"""),"No")</f>
        <v>No</v>
      </c>
    </row>
    <row r="34">
      <c r="A34" s="2" t="str">
        <f>IFERROR(__xludf.DUMMYFUNCTION("""COMPUTED_VALUE"""),"collect\spontaneous\Facebook\BangladeshBetarNews\55d2687f-170c-4f09-a2a8-ea5b7cd90ffa.flac")</f>
        <v>collect\spontaneous\Facebook\BangladeshBetarNews\55d2687f-170c-4f09-a2a8-ea5b7cd90ffa.flac</v>
      </c>
      <c r="B34" s="2">
        <f>IFERROR(__xludf.DUMMYFUNCTION("""COMPUTED_VALUE"""),15.0)</f>
        <v>15</v>
      </c>
      <c r="C34" s="2" t="str">
        <f>IFERROR(__xludf.DUMMYFUNCTION("""COMPUTED_VALUE"""),"আগামী জাতীয় সংসদ নির্বাচন সুষ্ঠু ও অবাধ করতে নির্বাচন কমিশনটে সম্ভাব্য সব ধরনের সহায়তা দেবে সরকার জাতীয় সংসদে টেবিলের প্রস্তাপিত প্রশ্ন জিজ্ঞাসা উত্তরে বললেন প্রধানমন্ত্রী আওয়ামী লীগ কোনো চাপের কাছে")</f>
        <v>আগামী জাতীয় সংসদ নির্বাচন সুষ্ঠু ও অবাধ করতে নির্বাচন কমিশনটে সম্ভাব্য সব ধরনের সহায়তা দেবে সরকার জাতীয় সংসদে টেবিলের প্রস্তাপিত প্রশ্ন জিজ্ঞাসা উত্তরে বললেন প্রধানমন্ত্রী আওয়ামী লীগ কোনো চাপের কাছে</v>
      </c>
      <c r="D34" s="2" t="str">
        <f>IFERROR(__xludf.DUMMYFUNCTION("""COMPUTED_VALUE"""),"Yes")</f>
        <v>Yes</v>
      </c>
      <c r="E34" s="2" t="str">
        <f>IFERROR(__xludf.DUMMYFUNCTION("""COMPUTED_VALUE"""),"No")</f>
        <v>No</v>
      </c>
      <c r="F34" s="2" t="str">
        <f>IFERROR(__xludf.DUMMYFUNCTION("""COMPUTED_VALUE"""),"Yes")</f>
        <v>Yes</v>
      </c>
      <c r="G34" s="2">
        <f>IFERROR(__xludf.DUMMYFUNCTION("""COMPUTED_VALUE"""),0.5)</f>
        <v>0.5</v>
      </c>
      <c r="H34" s="2">
        <f>IFERROR(__xludf.DUMMYFUNCTION("""COMPUTED_VALUE"""),0.5)</f>
        <v>0.5</v>
      </c>
      <c r="I34" s="2">
        <f>IFERROR(__xludf.DUMMYFUNCTION("""COMPUTED_VALUE"""),1.0)</f>
        <v>1</v>
      </c>
      <c r="J34" s="2">
        <f>IFERROR(__xludf.DUMMYFUNCTION("""COMPUTED_VALUE"""),0.5)</f>
        <v>0.5</v>
      </c>
      <c r="K34" s="2" t="str">
        <f>IFERROR(__xludf.DUMMYFUNCTION("""COMPUTED_VALUE"""),"5 – High-quality, Clean Bangla speech")</f>
        <v>5 – High-quality, Clean Bangla speech</v>
      </c>
      <c r="L34" s="2" t="str">
        <f>IFERROR(__xludf.DUMMYFUNCTION("""COMPUTED_VALUE"""),"No")</f>
        <v>No</v>
      </c>
    </row>
    <row r="35">
      <c r="A35" s="2" t="str">
        <f>IFERROR(__xludf.DUMMYFUNCTION("""COMPUTED_VALUE"""),"collect\spontaneous\Facebook\BangladeshBetarNews\55d8f900-3676-4236-aecd-fcf769ee2ae2.flac")</f>
        <v>collect\spontaneous\Facebook\BangladeshBetarNews\55d8f900-3676-4236-aecd-fcf769ee2ae2.flac</v>
      </c>
      <c r="B35" s="2">
        <f>IFERROR(__xludf.DUMMYFUNCTION("""COMPUTED_VALUE"""),15.0)</f>
        <v>15</v>
      </c>
      <c r="C35" s="2" t="str">
        <f>IFERROR(__xludf.DUMMYFUNCTION("""COMPUTED_VALUE"""),"অফ ডট ভিডিও ওয়েবসাইট থেকে অনলাইনে ফরমপূরণ অথবা সরাসরি সোনালী ব্যাংকের যেকোনো শাখায় গিয়ে নিবধ নে করতে পারবেন এবং চাদা দিতে পারবেন মোবাইলের মাধ্যমেও চাদা দেওয়া যাবে আশিফ ইকবাল খান বাংলাদেশ পেতার")</f>
        <v>অফ ডট ভিডিও ওয়েবসাইট থেকে অনলাইনে ফরমপূরণ অথবা সরাসরি সোনালী ব্যাংকের যেকোনো শাখায় গিয়ে নিবধ নে করতে পারবেন এবং চাদা দিতে পারবেন মোবাইলের মাধ্যমেও চাদা দেওয়া যাবে আশিফ ইকবাল খান বাংলাদেশ পেতার</v>
      </c>
      <c r="D35" s="2" t="str">
        <f>IFERROR(__xludf.DUMMYFUNCTION("""COMPUTED_VALUE"""),"No")</f>
        <v>No</v>
      </c>
      <c r="E35" s="2" t="str">
        <f>IFERROR(__xludf.DUMMYFUNCTION("""COMPUTED_VALUE"""),"No")</f>
        <v>No</v>
      </c>
      <c r="F35" s="2" t="str">
        <f>IFERROR(__xludf.DUMMYFUNCTION("""COMPUTED_VALUE"""),"Yes")</f>
        <v>Yes</v>
      </c>
      <c r="G35" s="2">
        <f>IFERROR(__xludf.DUMMYFUNCTION("""COMPUTED_VALUE"""),0.5)</f>
        <v>0.5</v>
      </c>
      <c r="H35" s="2">
        <f>IFERROR(__xludf.DUMMYFUNCTION("""COMPUTED_VALUE"""),0.5)</f>
        <v>0.5</v>
      </c>
      <c r="I35" s="2">
        <f>IFERROR(__xludf.DUMMYFUNCTION("""COMPUTED_VALUE"""),0.5)</f>
        <v>0.5</v>
      </c>
      <c r="J35" s="2">
        <f>IFERROR(__xludf.DUMMYFUNCTION("""COMPUTED_VALUE"""),0.5)</f>
        <v>0.5</v>
      </c>
      <c r="K35" s="2" t="str">
        <f>IFERROR(__xludf.DUMMYFUNCTION("""COMPUTED_VALUE"""),"5 – High-quality, Clean Bangla speech")</f>
        <v>5 – High-quality, Clean Bangla speech</v>
      </c>
      <c r="L35" s="2" t="str">
        <f>IFERROR(__xludf.DUMMYFUNCTION("""COMPUTED_VALUE"""),"No")</f>
        <v>No</v>
      </c>
    </row>
    <row r="36">
      <c r="A36" s="2" t="str">
        <f>IFERROR(__xludf.DUMMYFUNCTION("""COMPUTED_VALUE"""),"collect\spontaneous\Facebook\BangladeshBetarNews\55e4e537-a6f7-49c4-8204-cd7d6c6b28a5.flac")</f>
        <v>collect\spontaneous\Facebook\BangladeshBetarNews\55e4e537-a6f7-49c4-8204-cd7d6c6b28a5.flac</v>
      </c>
      <c r="B36" s="2">
        <f>IFERROR(__xludf.DUMMYFUNCTION("""COMPUTED_VALUE"""),15.0)</f>
        <v>15</v>
      </c>
      <c r="C36" s="2" t="str">
        <f>IFERROR(__xludf.DUMMYFUNCTION("""COMPUTED_VALUE"""),"শশুবাসীর প্রতি আহ্বান প্রধানমন্ত্রীর শেখ হাসিনার আশ্রয়ণ প্রকল্প বিশ্ব অনয় এক নিবন্ধে জানালেন প্রখ্যাত ন নরোরি জিয়েনশি হাবিদ অক্টোবর মাসে শেষ সপ্তাহে মোতিঝীল পর্যন্ত চলাচল করবেন")</f>
        <v>শশুবাসীর প্রতি আহ্বান প্রধানমন্ত্রীর শেখ হাসিনার আশ্রয়ণ প্রকল্প বিশ্ব অনয় এক নিবন্ধে জানালেন প্রখ্যাত ন নরোরি জিয়েনশি হাবিদ অক্টোবর মাসে শেষ সপ্তাহে মোতিঝীল পর্যন্ত চলাচল করবেন</v>
      </c>
      <c r="D36" s="2" t="str">
        <f>IFERROR(__xludf.DUMMYFUNCTION("""COMPUTED_VALUE"""),"No")</f>
        <v>No</v>
      </c>
      <c r="E36" s="2" t="str">
        <f>IFERROR(__xludf.DUMMYFUNCTION("""COMPUTED_VALUE"""),"No")</f>
        <v>No</v>
      </c>
      <c r="F36" s="2" t="str">
        <f>IFERROR(__xludf.DUMMYFUNCTION("""COMPUTED_VALUE"""),"Yes")</f>
        <v>Yes</v>
      </c>
      <c r="G36" s="2">
        <f>IFERROR(__xludf.DUMMYFUNCTION("""COMPUTED_VALUE"""),0.0)</f>
        <v>0</v>
      </c>
      <c r="H36" s="2">
        <f>IFERROR(__xludf.DUMMYFUNCTION("""COMPUTED_VALUE"""),0.0)</f>
        <v>0</v>
      </c>
      <c r="I36" s="2">
        <f>IFERROR(__xludf.DUMMYFUNCTION("""COMPUTED_VALUE"""),0.0)</f>
        <v>0</v>
      </c>
      <c r="J36" s="2">
        <f>IFERROR(__xludf.DUMMYFUNCTION("""COMPUTED_VALUE"""),0.0)</f>
        <v>0</v>
      </c>
      <c r="K36" s="2" t="str">
        <f>IFERROR(__xludf.DUMMYFUNCTION("""COMPUTED_VALUE"""),"5 – High-quality, Clean Bangla speech")</f>
        <v>5 – High-quality, Clean Bangla speech</v>
      </c>
      <c r="L36" s="2" t="str">
        <f>IFERROR(__xludf.DUMMYFUNCTION("""COMPUTED_VALUE"""),"No")</f>
        <v>No</v>
      </c>
    </row>
    <row r="37">
      <c r="A37" s="2" t="str">
        <f>IFERROR(__xludf.DUMMYFUNCTION("""COMPUTED_VALUE"""),"collect\spontaneous\Facebook\BangladeshBetarNews\568bbb0e-2e46-43d7-b9a0-f304b100372d.flac")</f>
        <v>collect\spontaneous\Facebook\BangladeshBetarNews\568bbb0e-2e46-43d7-b9a0-f304b100372d.flac</v>
      </c>
      <c r="B37" s="2">
        <f>IFERROR(__xludf.DUMMYFUNCTION("""COMPUTED_VALUE"""),15.0)</f>
        <v>15</v>
      </c>
      <c r="C37" s="2" t="str">
        <f>IFERROR(__xludf.DUMMYFUNCTION("""COMPUTED_VALUE"""),"বিএনপি জনজীবনে অশান্তি সৃষ্টির অপচেষ্টা করলে জনগণকেে সাথে নিয়ে তা দমন করা হবে বললেন তথ্য ও সম্প্রচারমন্ত্রী ইউক্রেনকে অস্ত্র ও গোলাবরধ সরবরাহে দুই হাজার কোটি ইউরোর তহবে")</f>
        <v>বিএনপি জনজীবনে অশান্তি সৃষ্টির অপচেষ্টা করলে জনগণকেে সাথে নিয়ে তা দমন করা হবে বললেন তথ্য ও সম্প্রচারমন্ত্রী ইউক্রেনকে অস্ত্র ও গোলাবরধ সরবরাহে দুই হাজার কোটি ইউরোর তহবে</v>
      </c>
      <c r="D37" s="2" t="str">
        <f>IFERROR(__xludf.DUMMYFUNCTION("""COMPUTED_VALUE"""),"Yes")</f>
        <v>Yes</v>
      </c>
      <c r="E37" s="2" t="str">
        <f>IFERROR(__xludf.DUMMYFUNCTION("""COMPUTED_VALUE"""),"No")</f>
        <v>No</v>
      </c>
      <c r="F37" s="2" t="str">
        <f>IFERROR(__xludf.DUMMYFUNCTION("""COMPUTED_VALUE"""),"No")</f>
        <v>No</v>
      </c>
      <c r="G37" s="2">
        <f>IFERROR(__xludf.DUMMYFUNCTION("""COMPUTED_VALUE"""),1.0)</f>
        <v>1</v>
      </c>
      <c r="H37" s="2">
        <f>IFERROR(__xludf.DUMMYFUNCTION("""COMPUTED_VALUE"""),1.0)</f>
        <v>1</v>
      </c>
      <c r="I37" s="2">
        <f>IFERROR(__xludf.DUMMYFUNCTION("""COMPUTED_VALUE"""),1.0)</f>
        <v>1</v>
      </c>
      <c r="J37" s="2">
        <f>IFERROR(__xludf.DUMMYFUNCTION("""COMPUTED_VALUE"""),0.5)</f>
        <v>0.5</v>
      </c>
      <c r="K37" s="2" t="str">
        <f>IFERROR(__xludf.DUMMYFUNCTION("""COMPUTED_VALUE"""),"5 – High-quality, Clean Bangla speech")</f>
        <v>5 – High-quality, Clean Bangla speech</v>
      </c>
      <c r="L37" s="2" t="str">
        <f>IFERROR(__xludf.DUMMYFUNCTION("""COMPUTED_VALUE"""),"No")</f>
        <v>No</v>
      </c>
    </row>
    <row r="38">
      <c r="A38" s="2" t="str">
        <f>IFERROR(__xludf.DUMMYFUNCTION("""COMPUTED_VALUE"""),"collect\spontaneous\Facebook\BangladeshBetarNews\55edca03-bad6-4cea-a758-09bdcafc7423.flac")</f>
        <v>collect\spontaneous\Facebook\BangladeshBetarNews\55edca03-bad6-4cea-a758-09bdcafc7423.flac</v>
      </c>
      <c r="B38" s="2">
        <f>IFERROR(__xludf.DUMMYFUNCTION("""COMPUTED_VALUE"""),15.0)</f>
        <v>15</v>
      </c>
      <c r="C38" s="2" t="str">
        <f>IFERROR(__xludf.DUMMYFUNCTION("""COMPUTED_VALUE"""),"াবলি আর জয়িতা পাঠক মনে আজও নিরাজমান পশ্চিমবঙ্গের জল পাইগুলিতে জন্মগ্রহণ করেছিলেন বিশিষ্ট কথা সাহিত্যিক এবং উপন্যাসী সময় রশ মজুমদার তার শিক্ষা জীবন শুরু হয় জল পাি")</f>
        <v>াবলি আর জয়িতা পাঠক মনে আজও নিরাজমান পশ্চিমবঙ্গের জল পাইগুলিতে জন্মগ্রহণ করেছিলেন বিশিষ্ট কথা সাহিত্যিক এবং উপন্যাসী সময় রশ মজুমদার তার শিক্ষা জীবন শুরু হয় জল পাি</v>
      </c>
      <c r="D38" s="2" t="str">
        <f>IFERROR(__xludf.DUMMYFUNCTION("""COMPUTED_VALUE"""),"No")</f>
        <v>No</v>
      </c>
      <c r="E38" s="2" t="str">
        <f>IFERROR(__xludf.DUMMYFUNCTION("""COMPUTED_VALUE"""),"No")</f>
        <v>No</v>
      </c>
      <c r="F38" s="2" t="str">
        <f>IFERROR(__xludf.DUMMYFUNCTION("""COMPUTED_VALUE"""),"Yes")</f>
        <v>Yes</v>
      </c>
      <c r="G38" s="2">
        <f>IFERROR(__xludf.DUMMYFUNCTION("""COMPUTED_VALUE"""),0.0)</f>
        <v>0</v>
      </c>
      <c r="H38" s="2">
        <f>IFERROR(__xludf.DUMMYFUNCTION("""COMPUTED_VALUE"""),0.0)</f>
        <v>0</v>
      </c>
      <c r="I38" s="2">
        <f>IFERROR(__xludf.DUMMYFUNCTION("""COMPUTED_VALUE"""),0.0)</f>
        <v>0</v>
      </c>
      <c r="J38" s="2">
        <f>IFERROR(__xludf.DUMMYFUNCTION("""COMPUTED_VALUE"""),0.0)</f>
        <v>0</v>
      </c>
      <c r="K38" s="2" t="str">
        <f>IFERROR(__xludf.DUMMYFUNCTION("""COMPUTED_VALUE"""),"5 – High-quality, Clean Bangla speech")</f>
        <v>5 – High-quality, Clean Bangla speech</v>
      </c>
      <c r="L38" s="2" t="str">
        <f>IFERROR(__xludf.DUMMYFUNCTION("""COMPUTED_VALUE"""),"No")</f>
        <v>No</v>
      </c>
    </row>
    <row r="39">
      <c r="A39" s="2" t="str">
        <f>IFERROR(__xludf.DUMMYFUNCTION("""COMPUTED_VALUE"""),"collect\spontaneous\Facebook\BangladeshBetarNews\561015c0-175c-47a0-a0b9-565b84d41dbc.flac")</f>
        <v>collect\spontaneous\Facebook\BangladeshBetarNews\561015c0-175c-47a0-a0b9-565b84d41dbc.flac</v>
      </c>
      <c r="B39" s="2">
        <f>IFERROR(__xludf.DUMMYFUNCTION("""COMPUTED_VALUE"""),15.0)</f>
        <v>15</v>
      </c>
      <c r="C39" s="2" t="str">
        <f>IFERROR(__xludf.DUMMYFUNCTION("""COMPUTED_VALUE"""),"তারই তো শুনুন প্রতিবেদনে পন নার্বা ডাক আজ সাতাশ জুলাই উনিশশো আটাত্তর সালে এইদিনে মুক্তিযুদ্ধ চেনা কেলে জন্মগ্রম করেন বর্তমান ডিজিটাল বাংলাদেশ সতেত্থ তার এবং তথ্য এড়চর স প্রযুক্তি খাতায় ডিপ্লবের")</f>
        <v>তারই তো শুনুন প্রতিবেদনে পন নার্বা ডাক আজ সাতাশ জুলাই উনিশশো আটাত্তর সালে এইদিনে মুক্তিযুদ্ধ চেনা কেলে জন্মগ্রম করেন বর্তমান ডিজিটাল বাংলাদেশ সতেত্থ তার এবং তথ্য এড়চর স প্রযুক্তি খাতায় ডিপ্লবের</v>
      </c>
      <c r="D39" s="2" t="str">
        <f>IFERROR(__xludf.DUMMYFUNCTION("""COMPUTED_VALUE"""),"No")</f>
        <v>No</v>
      </c>
      <c r="E39" s="2" t="str">
        <f>IFERROR(__xludf.DUMMYFUNCTION("""COMPUTED_VALUE"""),"No")</f>
        <v>No</v>
      </c>
      <c r="F39" s="2" t="str">
        <f>IFERROR(__xludf.DUMMYFUNCTION("""COMPUTED_VALUE"""),"No")</f>
        <v>No</v>
      </c>
      <c r="G39" s="2">
        <f>IFERROR(__xludf.DUMMYFUNCTION("""COMPUTED_VALUE"""),0.0)</f>
        <v>0</v>
      </c>
      <c r="H39" s="2">
        <f>IFERROR(__xludf.DUMMYFUNCTION("""COMPUTED_VALUE"""),0.5)</f>
        <v>0.5</v>
      </c>
      <c r="I39" s="2">
        <f>IFERROR(__xludf.DUMMYFUNCTION("""COMPUTED_VALUE"""),0.0)</f>
        <v>0</v>
      </c>
      <c r="J39" s="2">
        <f>IFERROR(__xludf.DUMMYFUNCTION("""COMPUTED_VALUE"""),0.0)</f>
        <v>0</v>
      </c>
      <c r="K39" s="2" t="str">
        <f>IFERROR(__xludf.DUMMYFUNCTION("""COMPUTED_VALUE"""),"4– Usable, minor flaws Minor background noise.")</f>
        <v>4– Usable, minor flaws Minor background noise.</v>
      </c>
      <c r="L39" s="2" t="str">
        <f>IFERROR(__xludf.DUMMYFUNCTION("""COMPUTED_VALUE"""),"No")</f>
        <v>No</v>
      </c>
    </row>
    <row r="40">
      <c r="A40" s="2" t="str">
        <f>IFERROR(__xludf.DUMMYFUNCTION("""COMPUTED_VALUE"""),"collect\spontaneous\Facebook\BangladeshBetarNews\56dac17b-ddc5-4676-a508-0711160e9814.flac")</f>
        <v>collect\spontaneous\Facebook\BangladeshBetarNews\56dac17b-ddc5-4676-a508-0711160e9814.flac</v>
      </c>
      <c r="B40" s="2">
        <f>IFERROR(__xludf.DUMMYFUNCTION("""COMPUTED_VALUE"""),15.0)</f>
        <v>15</v>
      </c>
      <c r="C40" s="2" t="str">
        <f>IFERROR(__xludf.DUMMYFUNCTION("""COMPUTED_VALUE"""),"রাত সাড়ে আটটায় বাংলাদেশ বেতার খবর পড়ছি আফজালোসিং শুরুতেই শিরোনাম সকলের জন্য উন্নত জীবন নিশ্চিত করতে সর্বজনিন পেনশন ব্যবস্থা উদ্বোধন করলীন প্রধানমন্ত্রী")</f>
        <v>রাত সাড়ে আটটায় বাংলাদেশ বেতার খবর পড়ছি আফজালোসিং শুরুতেই শিরোনাম সকলের জন্য উন্নত জীবন নিশ্চিত করতে সর্বজনিন পেনশন ব্যবস্থা উদ্বোধন করলীন প্রধানমন্ত্রী</v>
      </c>
      <c r="D40" s="2" t="str">
        <f>IFERROR(__xludf.DUMMYFUNCTION("""COMPUTED_VALUE"""),"Yes")</f>
        <v>Yes</v>
      </c>
      <c r="E40" s="2" t="str">
        <f>IFERROR(__xludf.DUMMYFUNCTION("""COMPUTED_VALUE"""),"No")</f>
        <v>No</v>
      </c>
      <c r="F40" s="2" t="str">
        <f>IFERROR(__xludf.DUMMYFUNCTION("""COMPUTED_VALUE"""),"Yes")</f>
        <v>Yes</v>
      </c>
      <c r="G40" s="2">
        <f>IFERROR(__xludf.DUMMYFUNCTION("""COMPUTED_VALUE"""),0.5)</f>
        <v>0.5</v>
      </c>
      <c r="H40" s="2">
        <f>IFERROR(__xludf.DUMMYFUNCTION("""COMPUTED_VALUE"""),0.5)</f>
        <v>0.5</v>
      </c>
      <c r="I40" s="2">
        <f>IFERROR(__xludf.DUMMYFUNCTION("""COMPUTED_VALUE"""),0.0)</f>
        <v>0</v>
      </c>
      <c r="J40" s="2">
        <f>IFERROR(__xludf.DUMMYFUNCTION("""COMPUTED_VALUE"""),0.5)</f>
        <v>0.5</v>
      </c>
      <c r="K40" s="2" t="str">
        <f>IFERROR(__xludf.DUMMYFUNCTION("""COMPUTED_VALUE"""),"5 – High-quality, Clean Bangla speech")</f>
        <v>5 – High-quality, Clean Bangla speech</v>
      </c>
      <c r="L40" s="2" t="str">
        <f>IFERROR(__xludf.DUMMYFUNCTION("""COMPUTED_VALUE"""),"No")</f>
        <v>No</v>
      </c>
    </row>
    <row r="41">
      <c r="A41" s="2" t="str">
        <f>IFERROR(__xludf.DUMMYFUNCTION("""COMPUTED_VALUE"""),"collect\spontaneous\Facebook\BangladeshBetarNews\56f2c12b-1cd4-4f83-9e2a-08539caa075e.flac")</f>
        <v>collect\spontaneous\Facebook\BangladeshBetarNews\56f2c12b-1cd4-4f83-9e2a-08539caa075e.flac</v>
      </c>
      <c r="B41" s="2">
        <f>IFERROR(__xludf.DUMMYFUNCTION("""COMPUTED_VALUE"""),15.0)</f>
        <v>15</v>
      </c>
      <c r="C41" s="2" t="str">
        <f>IFERROR(__xludf.DUMMYFUNCTION("""COMPUTED_VALUE"""),"আরও সুনন প্রতিবেদনে সাধারণত দেশে জুন মাস থেকে ডেঙ্গুজরের প্রাদুর্ভাব শুরু হয় কিন্তু এবার মে মাসেই সারাদেশের তুলনা ে লকভাবে বেশি দেঙগুর অগী শনাক্ত হয়েছে হাসপাতাল কর্তৃপক্ষের হিসেবের বাইরেও ে")</f>
        <v>আরও সুনন প্রতিবেদনে সাধারণত দেশে জুন মাস থেকে ডেঙ্গুজরের প্রাদুর্ভাব শুরু হয় কিন্তু এবার মে মাসেই সারাদেশের তুলনা ে লকভাবে বেশি দেঙগুর অগী শনাক্ত হয়েছে হাসপাতাল কর্তৃপক্ষের হিসেবের বাইরেও ে</v>
      </c>
      <c r="D41" s="2" t="str">
        <f>IFERROR(__xludf.DUMMYFUNCTION("""COMPUTED_VALUE"""),"No")</f>
        <v>No</v>
      </c>
      <c r="E41" s="2" t="str">
        <f>IFERROR(__xludf.DUMMYFUNCTION("""COMPUTED_VALUE"""),"No")</f>
        <v>No</v>
      </c>
      <c r="F41" s="2" t="str">
        <f>IFERROR(__xludf.DUMMYFUNCTION("""COMPUTED_VALUE"""),"Yes")</f>
        <v>Yes</v>
      </c>
      <c r="G41" s="2">
        <f>IFERROR(__xludf.DUMMYFUNCTION("""COMPUTED_VALUE"""),0.0)</f>
        <v>0</v>
      </c>
      <c r="H41" s="2">
        <f>IFERROR(__xludf.DUMMYFUNCTION("""COMPUTED_VALUE"""),0.5)</f>
        <v>0.5</v>
      </c>
      <c r="I41" s="2">
        <f>IFERROR(__xludf.DUMMYFUNCTION("""COMPUTED_VALUE"""),1.0)</f>
        <v>1</v>
      </c>
      <c r="J41" s="2">
        <f>IFERROR(__xludf.DUMMYFUNCTION("""COMPUTED_VALUE"""),0.5)</f>
        <v>0.5</v>
      </c>
      <c r="K41" s="2" t="str">
        <f>IFERROR(__xludf.DUMMYFUNCTION("""COMPUTED_VALUE"""),"4– Usable, minor flaws Minor background noise.")</f>
        <v>4– Usable, minor flaws Minor background noise.</v>
      </c>
      <c r="L41" s="2" t="str">
        <f>IFERROR(__xludf.DUMMYFUNCTION("""COMPUTED_VALUE"""),"No")</f>
        <v>No</v>
      </c>
    </row>
    <row r="42">
      <c r="A42" s="2" t="str">
        <f>IFERROR(__xludf.DUMMYFUNCTION("""COMPUTED_VALUE"""),"collect\spontaneous\Facebook\BangladeshBetarNews\5728951e-6644-4832-8ee4-fcc0a36637fd.flac")</f>
        <v>collect\spontaneous\Facebook\BangladeshBetarNews\5728951e-6644-4832-8ee4-fcc0a36637fd.flac</v>
      </c>
      <c r="B42" s="2">
        <f>IFERROR(__xludf.DUMMYFUNCTION("""COMPUTED_VALUE"""),15.0)</f>
        <v>15</v>
      </c>
      <c r="C42" s="2" t="str">
        <f>IFERROR(__xludf.DUMMYFUNCTION("""COMPUTED_VALUE"""),"কল্লেন দলের সাধারণ সম্পাদক সরকার ও নির্বাচন কমিশনের উপর কালিমা লেপনের উদ্দেশ্যেই ঢাকা সতেরো আসনের উপ নির্বাচনে প্রার্থীর উপর হামলা চালানো হয়েছে মন্তব্য তথ্য ও সম্প্রচারমন্ত্রীর")</f>
        <v>কল্লেন দলের সাধারণ সম্পাদক সরকার ও নির্বাচন কমিশনের উপর কালিমা লেপনের উদ্দেশ্যেই ঢাকা সতেরো আসনের উপ নির্বাচনে প্রার্থীর উপর হামলা চালানো হয়েছে মন্তব্য তথ্য ও সম্প্রচারমন্ত্রীর</v>
      </c>
      <c r="D42" s="2" t="str">
        <f>IFERROR(__xludf.DUMMYFUNCTION("""COMPUTED_VALUE"""),"Yes")</f>
        <v>Yes</v>
      </c>
      <c r="E42" s="2" t="str">
        <f>IFERROR(__xludf.DUMMYFUNCTION("""COMPUTED_VALUE"""),"No")</f>
        <v>No</v>
      </c>
      <c r="F42" s="2" t="str">
        <f>IFERROR(__xludf.DUMMYFUNCTION("""COMPUTED_VALUE"""),"Yes")</f>
        <v>Yes</v>
      </c>
      <c r="G42" s="2">
        <f>IFERROR(__xludf.DUMMYFUNCTION("""COMPUTED_VALUE"""),0.5)</f>
        <v>0.5</v>
      </c>
      <c r="H42" s="2">
        <f>IFERROR(__xludf.DUMMYFUNCTION("""COMPUTED_VALUE"""),0.5)</f>
        <v>0.5</v>
      </c>
      <c r="I42" s="2">
        <f>IFERROR(__xludf.DUMMYFUNCTION("""COMPUTED_VALUE"""),1.0)</f>
        <v>1</v>
      </c>
      <c r="J42" s="2">
        <f>IFERROR(__xludf.DUMMYFUNCTION("""COMPUTED_VALUE"""),0.5)</f>
        <v>0.5</v>
      </c>
      <c r="K42" s="2" t="str">
        <f>IFERROR(__xludf.DUMMYFUNCTION("""COMPUTED_VALUE"""),"5 – High-quality, Clean Bangla speech")</f>
        <v>5 – High-quality, Clean Bangla speech</v>
      </c>
      <c r="L42" s="2" t="str">
        <f>IFERROR(__xludf.DUMMYFUNCTION("""COMPUTED_VALUE"""),"No")</f>
        <v>No</v>
      </c>
    </row>
    <row r="43">
      <c r="A43" s="2" t="str">
        <f>IFERROR(__xludf.DUMMYFUNCTION("""COMPUTED_VALUE"""),"collect\spontaneous\Facebook\BangladeshBetarNews\58b37728-ea25-44e4-97fd-fda1ec99b6c0.flac")</f>
        <v>collect\spontaneous\Facebook\BangladeshBetarNews\58b37728-ea25-44e4-97fd-fda1ec99b6c0.flac</v>
      </c>
      <c r="B43" s="2">
        <f>IFERROR(__xludf.DUMMYFUNCTION("""COMPUTED_VALUE"""),15.0)</f>
        <v>15</v>
      </c>
      <c r="C43" s="2" t="str">
        <f>IFERROR(__xludf.DUMMYFUNCTION("""COMPUTED_VALUE"""),"সা্ী ানদে হা া ্য র মানুষ কথা বলা তেনে না করে হয়েছা হোসেন কবির বাংলাদেশ বেতার এদিকে বাংলাদেশ আওয়ামী লীগ সভাপতি ও প্রধানমন্ত্রী শেখ হাসিনার কারাবক্তি দিবস উপলক্ষে বাংলাদেশ আওয়ামী লীগ")</f>
        <v>সা্ী ানদে হা া ্য র মানুষ কথা বলা তেনে না করে হয়েছা হোসেন কবির বাংলাদেশ বেতার এদিকে বাংলাদেশ আওয়ামী লীগ সভাপতি ও প্রধানমন্ত্রী শেখ হাসিনার কারাবক্তি দিবস উপলক্ষে বাংলাদেশ আওয়ামী লীগ</v>
      </c>
      <c r="D43" s="2" t="str">
        <f>IFERROR(__xludf.DUMMYFUNCTION("""COMPUTED_VALUE"""),"No")</f>
        <v>No</v>
      </c>
      <c r="E43" s="2" t="str">
        <f>IFERROR(__xludf.DUMMYFUNCTION("""COMPUTED_VALUE"""),"No")</f>
        <v>No</v>
      </c>
      <c r="F43" s="2" t="str">
        <f>IFERROR(__xludf.DUMMYFUNCTION("""COMPUTED_VALUE"""),"Yes")</f>
        <v>Yes</v>
      </c>
      <c r="G43" s="2">
        <f>IFERROR(__xludf.DUMMYFUNCTION("""COMPUTED_VALUE"""),0.5)</f>
        <v>0.5</v>
      </c>
      <c r="H43" s="2">
        <f>IFERROR(__xludf.DUMMYFUNCTION("""COMPUTED_VALUE"""),0.5)</f>
        <v>0.5</v>
      </c>
      <c r="I43" s="2">
        <f>IFERROR(__xludf.DUMMYFUNCTION("""COMPUTED_VALUE"""),1.0)</f>
        <v>1</v>
      </c>
      <c r="J43" s="2">
        <f>IFERROR(__xludf.DUMMYFUNCTION("""COMPUTED_VALUE"""),0.5)</f>
        <v>0.5</v>
      </c>
      <c r="K43" s="2" t="str">
        <f>IFERROR(__xludf.DUMMYFUNCTION("""COMPUTED_VALUE"""),"2 - Poor quality Noisy, unclear,")</f>
        <v>2 - Poor quality Noisy, unclear,</v>
      </c>
      <c r="L43" s="2" t="str">
        <f>IFERROR(__xludf.DUMMYFUNCTION("""COMPUTED_VALUE"""),"No")</f>
        <v>No</v>
      </c>
    </row>
    <row r="44">
      <c r="A44" s="2" t="str">
        <f>IFERROR(__xludf.DUMMYFUNCTION("""COMPUTED_VALUE"""),"collect\spontaneous\Facebook\BangladeshBetarNews\59f60282-dcc2-47e9-b4d0-4cd3db734122.flac")</f>
        <v>collect\spontaneous\Facebook\BangladeshBetarNews\59f60282-dcc2-47e9-b4d0-4cd3db734122.flac</v>
      </c>
      <c r="B44" s="2">
        <f>IFERROR(__xludf.DUMMYFUNCTION("""COMPUTED_VALUE"""),15.0)</f>
        <v>15</v>
      </c>
      <c r="C44" s="2" t="str">
        <f>IFERROR(__xludf.DUMMYFUNCTION("""COMPUTED_VALUE"""),"এ দেরি করবেন না প্রতিজ্ঞা করুন তামাক ছাড়ুন বাংলাদেশ গ্রেতার এখন স্মার্টফোনে আপনার হাতের মুঠ হই এক্সপ্রেজ মাধ্যমে বাংলাদেশ বেতারে সংবাদ এবং অনুষ্ঠান শুনুন বিশ্বের যে কোনো প্রান্ত থেকে প")</f>
        <v>এ দেরি করবেন না প্রতিজ্ঞা করুন তামাক ছাড়ুন বাংলাদেশ গ্রেতার এখন স্মার্টফোনে আপনার হাতের মুঠ হই এক্সপ্রেজ মাধ্যমে বাংলাদেশ বেতারে সংবাদ এবং অনুষ্ঠান শুনুন বিশ্বের যে কোনো প্রান্ত থেকে প</v>
      </c>
      <c r="D44" s="2" t="str">
        <f>IFERROR(__xludf.DUMMYFUNCTION("""COMPUTED_VALUE"""),"Yes")</f>
        <v>Yes</v>
      </c>
      <c r="E44" s="2"/>
      <c r="F44" s="2" t="str">
        <f>IFERROR(__xludf.DUMMYFUNCTION("""COMPUTED_VALUE"""),"Yes")</f>
        <v>Yes</v>
      </c>
      <c r="G44" s="2">
        <f>IFERROR(__xludf.DUMMYFUNCTION("""COMPUTED_VALUE"""),0.5)</f>
        <v>0.5</v>
      </c>
      <c r="H44" s="2">
        <f>IFERROR(__xludf.DUMMYFUNCTION("""COMPUTED_VALUE"""),0.5)</f>
        <v>0.5</v>
      </c>
      <c r="I44" s="2">
        <f>IFERROR(__xludf.DUMMYFUNCTION("""COMPUTED_VALUE"""),1.0)</f>
        <v>1</v>
      </c>
      <c r="J44" s="2">
        <f>IFERROR(__xludf.DUMMYFUNCTION("""COMPUTED_VALUE"""),0.5)</f>
        <v>0.5</v>
      </c>
      <c r="K44" s="2" t="str">
        <f>IFERROR(__xludf.DUMMYFUNCTION("""COMPUTED_VALUE"""),"4– Usable, minor flaws Minor background noise.")</f>
        <v>4– Usable, minor flaws Minor background noise.</v>
      </c>
      <c r="L44" s="2" t="str">
        <f>IFERROR(__xludf.DUMMYFUNCTION("""COMPUTED_VALUE"""),"No")</f>
        <v>No</v>
      </c>
    </row>
    <row r="45">
      <c r="A45" s="2" t="str">
        <f>IFERROR(__xludf.DUMMYFUNCTION("""COMPUTED_VALUE"""),"collect\spontaneous\Facebook\BangladeshBetarNews\5a0a53ba-3edc-4391-b42d-29726a0a727d.flac")</f>
        <v>collect\spontaneous\Facebook\BangladeshBetarNews\5a0a53ba-3edc-4391-b42d-29726a0a727d.flac</v>
      </c>
      <c r="B45" s="2">
        <f>IFERROR(__xludf.DUMMYFUNCTION("""COMPUTED_VALUE"""),15.0)</f>
        <v>15</v>
      </c>
      <c r="C45" s="2" t="str">
        <f>IFERROR(__xludf.DUMMYFUNCTION("""COMPUTED_VALUE"""),"ুরাত সাড়ে একটা বাংলাদেশ পেতার খবর পড়ছি বা বুবা চৌধ্রী শুরুতেই শিরোনাম রাতপোহালী দেশে পর্বিত্র ঈদউল আজহা ঈদ উদযাপনের")</f>
        <v>ুরাত সাড়ে একটা বাংলাদেশ পেতার খবর পড়ছি বা বুবা চৌধ্রী শুরুতেই শিরোনাম রাতপোহালী দেশে পর্বিত্র ঈদউল আজহা ঈদ উদযাপনের</v>
      </c>
      <c r="D45" s="2" t="str">
        <f>IFERROR(__xludf.DUMMYFUNCTION("""COMPUTED_VALUE"""),"No")</f>
        <v>No</v>
      </c>
      <c r="E45" s="2" t="str">
        <f>IFERROR(__xludf.DUMMYFUNCTION("""COMPUTED_VALUE"""),"No")</f>
        <v>No</v>
      </c>
      <c r="F45" s="2" t="str">
        <f>IFERROR(__xludf.DUMMYFUNCTION("""COMPUTED_VALUE"""),"Yes")</f>
        <v>Yes</v>
      </c>
      <c r="G45" s="2">
        <f>IFERROR(__xludf.DUMMYFUNCTION("""COMPUTED_VALUE"""),0.0)</f>
        <v>0</v>
      </c>
      <c r="H45" s="2">
        <f>IFERROR(__xludf.DUMMYFUNCTION("""COMPUTED_VALUE"""),0.5)</f>
        <v>0.5</v>
      </c>
      <c r="I45" s="2">
        <f>IFERROR(__xludf.DUMMYFUNCTION("""COMPUTED_VALUE"""),0.0)</f>
        <v>0</v>
      </c>
      <c r="J45" s="2">
        <f>IFERROR(__xludf.DUMMYFUNCTION("""COMPUTED_VALUE"""),0.5)</f>
        <v>0.5</v>
      </c>
      <c r="K45" s="2" t="str">
        <f>IFERROR(__xludf.DUMMYFUNCTION("""COMPUTED_VALUE"""),"5 – High-quality, Clean Bangla speech")</f>
        <v>5 – High-quality, Clean Bangla speech</v>
      </c>
      <c r="L45" s="2" t="str">
        <f>IFERROR(__xludf.DUMMYFUNCTION("""COMPUTED_VALUE"""),"No")</f>
        <v>No</v>
      </c>
    </row>
    <row r="46">
      <c r="A46" s="2" t="str">
        <f>IFERROR(__xludf.DUMMYFUNCTION("""COMPUTED_VALUE"""),"collect\spontaneous\Facebook\BangladeshBetarNews\5a2b1376-5f42-42cd-bc8f-4279c906be9e.flac")</f>
        <v>collect\spontaneous\Facebook\BangladeshBetarNews\5a2b1376-5f42-42cd-bc8f-4279c906be9e.flac</v>
      </c>
      <c r="B46" s="2">
        <f>IFERROR(__xludf.DUMMYFUNCTION("""COMPUTED_VALUE"""),15.0)</f>
        <v>15</v>
      </c>
      <c r="C46" s="2" t="str">
        <f>IFERROR(__xludf.DUMMYFUNCTION("""COMPUTED_VALUE"""),"দেখাতে বলা হয়েছে শেষ করা আগে শিওনাম বুল আরেকবার কক্সবাজার উপকূলন অতিক্রম করেছে অি কুবল খুর্ণি ঝড়্ম খা সমুদ্র বন্দর সমূয়ের জন্য মহা বিপল সংকে দাবিয়েে তিন নবর স্থানীয় সতর্কতা সঙ্কে জানি")</f>
        <v>দেখাতে বলা হয়েছে শেষ করা আগে শিওনাম বুল আরেকবার কক্সবাজার উপকূলন অতিক্রম করেছে অি কুবল খুর্ণি ঝড়্ম খা সমুদ্র বন্দর সমূয়ের জন্য মহা বিপল সংকে দাবিয়েে তিন নবর স্থানীয় সতর্কতা সঙ্কে জানি</v>
      </c>
      <c r="D46" s="2" t="str">
        <f>IFERROR(__xludf.DUMMYFUNCTION("""COMPUTED_VALUE"""),"No")</f>
        <v>No</v>
      </c>
      <c r="E46" s="2" t="str">
        <f>IFERROR(__xludf.DUMMYFUNCTION("""COMPUTED_VALUE"""),"Yes")</f>
        <v>Yes</v>
      </c>
      <c r="F46" s="2" t="str">
        <f>IFERROR(__xludf.DUMMYFUNCTION("""COMPUTED_VALUE"""),"Yes")</f>
        <v>Yes</v>
      </c>
      <c r="G46" s="2">
        <f>IFERROR(__xludf.DUMMYFUNCTION("""COMPUTED_VALUE"""),0.0)</f>
        <v>0</v>
      </c>
      <c r="H46" s="2">
        <f>IFERROR(__xludf.DUMMYFUNCTION("""COMPUTED_VALUE"""),0.0)</f>
        <v>0</v>
      </c>
      <c r="I46" s="2">
        <f>IFERROR(__xludf.DUMMYFUNCTION("""COMPUTED_VALUE"""),0.0)</f>
        <v>0</v>
      </c>
      <c r="J46" s="2">
        <f>IFERROR(__xludf.DUMMYFUNCTION("""COMPUTED_VALUE"""),0.0)</f>
        <v>0</v>
      </c>
      <c r="K46" s="2" t="str">
        <f>IFERROR(__xludf.DUMMYFUNCTION("""COMPUTED_VALUE"""),"4– Usable, minor flaws Minor background noise.")</f>
        <v>4– Usable, minor flaws Minor background noise.</v>
      </c>
      <c r="L46" s="2" t="str">
        <f>IFERROR(__xludf.DUMMYFUNCTION("""COMPUTED_VALUE"""),"No")</f>
        <v>No</v>
      </c>
    </row>
    <row r="47">
      <c r="A47" s="2" t="str">
        <f>IFERROR(__xludf.DUMMYFUNCTION("""COMPUTED_VALUE"""),"collect\spontaneous\Facebook\BangladeshBetarNews\5a54a60a-3042-47de-a42e-e962840e3479.flac")</f>
        <v>collect\spontaneous\Facebook\BangladeshBetarNews\5a54a60a-3042-47de-a42e-e962840e3479.flac</v>
      </c>
      <c r="B47" s="2">
        <f>IFERROR(__xludf.DUMMYFUNCTION("""COMPUTED_VALUE"""),15.0)</f>
        <v>15</v>
      </c>
      <c r="C47" s="2" t="str">
        <f>IFERROR(__xludf.DUMMYFUNCTION("""COMPUTED_VALUE"""),"সৈনিমতোই খেলা শুরু হবে ার খেলে দুটি চলতি থাকে ারলি প্রচার করবে ক্রিকেটের আরও খবর পরজন্যশয়কাক্রিকেট হে আজ এই পরাপের খেলা োসব গানিস্তান এউ দল তাতে নিমে জিনিয়েছে খাায় জয় লাভ করেছে বাংলাদেশ আ")</f>
        <v>সৈনিমতোই খেলা শুরু হবে ার খেলে দুটি চলতি থাকে ারলি প্রচার করবে ক্রিকেটের আরও খবর পরজন্যশয়কাক্রিকেট হে আজ এই পরাপের খেলা োসব গানিস্তান এউ দল তাতে নিমে জিনিয়েছে খাায় জয় লাভ করেছে বাংলাদেশ আ</v>
      </c>
      <c r="D47" s="2" t="str">
        <f>IFERROR(__xludf.DUMMYFUNCTION("""COMPUTED_VALUE"""),"No")</f>
        <v>No</v>
      </c>
      <c r="E47" s="2" t="str">
        <f>IFERROR(__xludf.DUMMYFUNCTION("""COMPUTED_VALUE"""),"Yes")</f>
        <v>Yes</v>
      </c>
      <c r="F47" s="2" t="str">
        <f>IFERROR(__xludf.DUMMYFUNCTION("""COMPUTED_VALUE"""),"Yes")</f>
        <v>Yes</v>
      </c>
      <c r="G47" s="2">
        <f>IFERROR(__xludf.DUMMYFUNCTION("""COMPUTED_VALUE"""),0.0)</f>
        <v>0</v>
      </c>
      <c r="H47" s="2">
        <f>IFERROR(__xludf.DUMMYFUNCTION("""COMPUTED_VALUE"""),0.0)</f>
        <v>0</v>
      </c>
      <c r="I47" s="2">
        <f>IFERROR(__xludf.DUMMYFUNCTION("""COMPUTED_VALUE"""),0.0)</f>
        <v>0</v>
      </c>
      <c r="J47" s="2">
        <f>IFERROR(__xludf.DUMMYFUNCTION("""COMPUTED_VALUE"""),0.0)</f>
        <v>0</v>
      </c>
      <c r="K47" s="2" t="str">
        <f>IFERROR(__xludf.DUMMYFUNCTION("""COMPUTED_VALUE"""),"2 - Poor quality Noisy, unclear,")</f>
        <v>2 - Poor quality Noisy, unclear,</v>
      </c>
      <c r="L47" s="2" t="str">
        <f>IFERROR(__xludf.DUMMYFUNCTION("""COMPUTED_VALUE"""),"No")</f>
        <v>No</v>
      </c>
    </row>
    <row r="48">
      <c r="A48" s="2" t="str">
        <f>IFERROR(__xludf.DUMMYFUNCTION("""COMPUTED_VALUE"""),"collect\spontaneous\Facebook\BangladeshBetarNews\5a8f2021-69f2-474d-80c9-6068caa64914.flac")</f>
        <v>collect\spontaneous\Facebook\BangladeshBetarNews\5a8f2021-69f2-474d-80c9-6068caa64914.flac</v>
      </c>
      <c r="B48" s="2">
        <f>IFERROR(__xludf.DUMMYFUNCTION("""COMPUTED_VALUE"""),15.0)</f>
        <v>15</v>
      </c>
      <c r="C48" s="2" t="str">
        <f>IFERROR(__xludf.DUMMYFUNCTION("""COMPUTED_VALUE"""),"স্থ ও সম্প্রচার মুখিক নিষেধাজ্ঞা শেষে সাগর ন নদীতে মধ্যরাত থেকে আবারও মাছ ধরা শুরু ন স্পেনে গতকালে সাধারণ নির্বাচনে ময়ে কোনো দল বা জোট স্পষ্ট সংখ্যা গরিষ্ঠত পায়নি")</f>
        <v>স্থ ও সম্প্রচার মুখিক নিষেধাজ্ঞা শেষে সাগর ন নদীতে মধ্যরাত থেকে আবারও মাছ ধরা শুরু ন স্পেনে গতকালে সাধারণ নির্বাচনে ময়ে কোনো দল বা জোট স্পষ্ট সংখ্যা গরিষ্ঠত পায়নি</v>
      </c>
      <c r="D48" s="2" t="str">
        <f>IFERROR(__xludf.DUMMYFUNCTION("""COMPUTED_VALUE"""),"No")</f>
        <v>No</v>
      </c>
      <c r="E48" s="2" t="str">
        <f>IFERROR(__xludf.DUMMYFUNCTION("""COMPUTED_VALUE"""),"Yes")</f>
        <v>Yes</v>
      </c>
      <c r="F48" s="2" t="str">
        <f>IFERROR(__xludf.DUMMYFUNCTION("""COMPUTED_VALUE"""),"Yes")</f>
        <v>Yes</v>
      </c>
      <c r="G48" s="2">
        <f>IFERROR(__xludf.DUMMYFUNCTION("""COMPUTED_VALUE"""),0.5)</f>
        <v>0.5</v>
      </c>
      <c r="H48" s="2">
        <f>IFERROR(__xludf.DUMMYFUNCTION("""COMPUTED_VALUE"""),0.0)</f>
        <v>0</v>
      </c>
      <c r="I48" s="2">
        <f>IFERROR(__xludf.DUMMYFUNCTION("""COMPUTED_VALUE"""),0.0)</f>
        <v>0</v>
      </c>
      <c r="J48" s="2">
        <f>IFERROR(__xludf.DUMMYFUNCTION("""COMPUTED_VALUE"""),0.0)</f>
        <v>0</v>
      </c>
      <c r="K48" s="2" t="str">
        <f>IFERROR(__xludf.DUMMYFUNCTION("""COMPUTED_VALUE"""),"5 – High-quality, Clean Bangla speech")</f>
        <v>5 – High-quality, Clean Bangla speech</v>
      </c>
      <c r="L48" s="2" t="str">
        <f>IFERROR(__xludf.DUMMYFUNCTION("""COMPUTED_VALUE"""),"No")</f>
        <v>No</v>
      </c>
    </row>
    <row r="49">
      <c r="A49" s="2" t="str">
        <f>IFERROR(__xludf.DUMMYFUNCTION("""COMPUTED_VALUE"""),"collect\spontaneous\Facebook\BangladeshBetarNews\5aad6823-c801-4ed5-bc5e-e8ae38a4aaa5.flac")</f>
        <v>collect\spontaneous\Facebook\BangladeshBetarNews\5aad6823-c801-4ed5-bc5e-e8ae38a4aaa5.flac</v>
      </c>
      <c r="B49" s="2">
        <f>IFERROR(__xludf.DUMMYFUNCTION("""COMPUTED_VALUE"""),15.0)</f>
        <v>15</v>
      </c>
      <c r="C49" s="2" t="str">
        <f>IFERROR(__xludf.DUMMYFUNCTION("""COMPUTED_VALUE"""),"বিভিন্ন লক্ষ্য নিয়ে হাসপাতালে ভর্তি হচ্ছেন শ থেকে বয়স ক সব বয়সে ের মানুষ প্রাচ্ছে আবার টেস্ট করায় প্রয়চ্রিশ এ্াবাল আসছে আজকে মোটার মলে আমার ফিককেজ ভালোবাছে এখন স্টা পচে সে জোর কময়ে গেছি ম্াপটিলিকটা খুমতে ছিল সুদূর")</f>
        <v>বিভিন্ন লক্ষ্য নিয়ে হাসপাতালে ভর্তি হচ্ছেন শ থেকে বয়স ক সব বয়সে ের মানুষ প্রাচ্ছে আবার টেস্ট করায় প্রয়চ্রিশ এ্াবাল আসছে আজকে মোটার মলে আমার ফিককেজ ভালোবাছে এখন স্টা পচে সে জোর কময়ে গেছি ম্াপটিলিকটা খুমতে ছিল সুদূর</v>
      </c>
      <c r="D49" s="2" t="str">
        <f>IFERROR(__xludf.DUMMYFUNCTION("""COMPUTED_VALUE"""),"No")</f>
        <v>No</v>
      </c>
      <c r="E49" s="2" t="str">
        <f>IFERROR(__xludf.DUMMYFUNCTION("""COMPUTED_VALUE"""),"Yes")</f>
        <v>Yes</v>
      </c>
      <c r="F49" s="2" t="str">
        <f>IFERROR(__xludf.DUMMYFUNCTION("""COMPUTED_VALUE"""),"Yes")</f>
        <v>Yes</v>
      </c>
      <c r="G49" s="2">
        <f>IFERROR(__xludf.DUMMYFUNCTION("""COMPUTED_VALUE"""),0.0)</f>
        <v>0</v>
      </c>
      <c r="H49" s="2">
        <f>IFERROR(__xludf.DUMMYFUNCTION("""COMPUTED_VALUE"""),0.5)</f>
        <v>0.5</v>
      </c>
      <c r="I49" s="2">
        <f>IFERROR(__xludf.DUMMYFUNCTION("""COMPUTED_VALUE"""),0.5)</f>
        <v>0.5</v>
      </c>
      <c r="J49" s="2">
        <f>IFERROR(__xludf.DUMMYFUNCTION("""COMPUTED_VALUE"""),0.5)</f>
        <v>0.5</v>
      </c>
      <c r="K49" s="2" t="str">
        <f>IFERROR(__xludf.DUMMYFUNCTION("""COMPUTED_VALUE"""),"4– Usable, minor flaws Minor background noise.")</f>
        <v>4– Usable, minor flaws Minor background noise.</v>
      </c>
      <c r="L49" s="2" t="str">
        <f>IFERROR(__xludf.DUMMYFUNCTION("""COMPUTED_VALUE"""),"No")</f>
        <v>No</v>
      </c>
    </row>
    <row r="50">
      <c r="A50" s="2" t="str">
        <f>IFERROR(__xludf.DUMMYFUNCTION("""COMPUTED_VALUE"""),"collect\spontaneous\Facebook\BangladeshBetarNews\5b160af1-b7e9-4080-a8b0-669febc00b38.flac")</f>
        <v>collect\spontaneous\Facebook\BangladeshBetarNews\5b160af1-b7e9-4080-a8b0-669febc00b38.flac</v>
      </c>
      <c r="B50" s="2">
        <f>IFERROR(__xludf.DUMMYFUNCTION("""COMPUTED_VALUE"""),15.0)</f>
        <v>15</v>
      </c>
      <c r="C50" s="2" t="str">
        <f>IFERROR(__xludf.DUMMYFUNCTION("""COMPUTED_VALUE"""),"বাংলাদেশ পিতার তা কার্যক্রম দিয়ে দেখেলছে এদেশের মানুষকে মুক্তিযুদ্ধ কীভাবে উজজীপিত করতে হবে স্বাধীন বাংলাদি তার কেন্দ্র তেকে যে গানগুলো প্রচারিত হয়েছে কগান ছিল না শিখলে ছিল বাণী পরাভীনে শৃঙ্খল থেকটু মক্তি হতে")</f>
        <v>বাংলাদেশ পিতার তা কার্যক্রম দিয়ে দেখেলছে এদেশের মানুষকে মুক্তিযুদ্ধ কীভাবে উজজীপিত করতে হবে স্বাধীন বাংলাদি তার কেন্দ্র তেকে যে গানগুলো প্রচারিত হয়েছে কগান ছিল না শিখলে ছিল বাণী পরাভীনে শৃঙ্খল থেকটু মক্তি হতে</v>
      </c>
      <c r="D50" s="2" t="str">
        <f>IFERROR(__xludf.DUMMYFUNCTION("""COMPUTED_VALUE"""),"No")</f>
        <v>No</v>
      </c>
      <c r="E50" s="2" t="str">
        <f>IFERROR(__xludf.DUMMYFUNCTION("""COMPUTED_VALUE"""),"Yes")</f>
        <v>Yes</v>
      </c>
      <c r="F50" s="2" t="str">
        <f>IFERROR(__xludf.DUMMYFUNCTION("""COMPUTED_VALUE"""),"Yes")</f>
        <v>Yes</v>
      </c>
      <c r="G50" s="2">
        <f>IFERROR(__xludf.DUMMYFUNCTION("""COMPUTED_VALUE"""),0.5)</f>
        <v>0.5</v>
      </c>
      <c r="H50" s="2">
        <f>IFERROR(__xludf.DUMMYFUNCTION("""COMPUTED_VALUE"""),0.5)</f>
        <v>0.5</v>
      </c>
      <c r="I50" s="2">
        <f>IFERROR(__xludf.DUMMYFUNCTION("""COMPUTED_VALUE"""),0.5)</f>
        <v>0.5</v>
      </c>
      <c r="J50" s="2">
        <f>IFERROR(__xludf.DUMMYFUNCTION("""COMPUTED_VALUE"""),0.5)</f>
        <v>0.5</v>
      </c>
      <c r="K50" s="2" t="str">
        <f>IFERROR(__xludf.DUMMYFUNCTION("""COMPUTED_VALUE"""),"3 – Mixed language or inconsistent quality")</f>
        <v>3 – Mixed language or inconsistent quality</v>
      </c>
      <c r="L50" s="2" t="str">
        <f>IFERROR(__xludf.DUMMYFUNCTION("""COMPUTED_VALUE"""),"No")</f>
        <v>No</v>
      </c>
    </row>
    <row r="51">
      <c r="A51" s="2" t="str">
        <f>IFERROR(__xludf.DUMMYFUNCTION("""COMPUTED_VALUE"""),"collect\spontaneous\Facebook\BangladeshBetarNews\5b30539f-a2c4-4698-911e-47562898b036.flac")</f>
        <v>collect\spontaneous\Facebook\BangladeshBetarNews\5b30539f-a2c4-4698-911e-47562898b036.flac</v>
      </c>
      <c r="B51" s="2">
        <f>IFERROR(__xludf.DUMMYFUNCTION("""COMPUTED_VALUE"""),15.0)</f>
        <v>15</v>
      </c>
      <c r="C51" s="2" t="str">
        <f>IFERROR(__xludf.DUMMYFUNCTION("""COMPUTED_VALUE"""),"খবরের বাকি অংশ পড়ছি নিলুফার জাহান জনগণের কল্লেণে সরকারি কর্মকর্তা কর্মচারীদের সেবা সম্প্রসারণে উৎসাহিত ও উদ্বুদ্ধ করতে আজ নানা কর্মসূচির মধ্য দিয়ে দেশে জাতীয় ে")</f>
        <v>খবরের বাকি অংশ পড়ছি নিলুফার জাহান জনগণের কল্লেণে সরকারি কর্মকর্তা কর্মচারীদের সেবা সম্প্রসারণে উৎসাহিত ও উদ্বুদ্ধ করতে আজ নানা কর্মসূচির মধ্য দিয়ে দেশে জাতীয় ে</v>
      </c>
      <c r="D51" s="2" t="str">
        <f>IFERROR(__xludf.DUMMYFUNCTION("""COMPUTED_VALUE"""),"Yes")</f>
        <v>Yes</v>
      </c>
      <c r="E51" s="2" t="str">
        <f>IFERROR(__xludf.DUMMYFUNCTION("""COMPUTED_VALUE"""),"No")</f>
        <v>No</v>
      </c>
      <c r="F51" s="2" t="str">
        <f>IFERROR(__xludf.DUMMYFUNCTION("""COMPUTED_VALUE"""),"Yes")</f>
        <v>Yes</v>
      </c>
      <c r="G51" s="2">
        <f>IFERROR(__xludf.DUMMYFUNCTION("""COMPUTED_VALUE"""),0.5)</f>
        <v>0.5</v>
      </c>
      <c r="H51" s="2">
        <f>IFERROR(__xludf.DUMMYFUNCTION("""COMPUTED_VALUE"""),0.5)</f>
        <v>0.5</v>
      </c>
      <c r="I51" s="2">
        <f>IFERROR(__xludf.DUMMYFUNCTION("""COMPUTED_VALUE"""),1.0)</f>
        <v>1</v>
      </c>
      <c r="J51" s="2">
        <f>IFERROR(__xludf.DUMMYFUNCTION("""COMPUTED_VALUE"""),0.5)</f>
        <v>0.5</v>
      </c>
      <c r="K51" s="2" t="str">
        <f>IFERROR(__xludf.DUMMYFUNCTION("""COMPUTED_VALUE"""),"4– Usable, minor flaws Minor background noise.")</f>
        <v>4– Usable, minor flaws Minor background noise.</v>
      </c>
      <c r="L51" s="2" t="str">
        <f>IFERROR(__xludf.DUMMYFUNCTION("""COMPUTED_VALUE"""),"No")</f>
        <v>No</v>
      </c>
    </row>
    <row r="52">
      <c r="A52" s="2" t="str">
        <f>IFERROR(__xludf.DUMMYFUNCTION("""COMPUTED_VALUE"""),"collect\spontaneous\Facebook\BangladeshBetarNews\5be64be4-0975-48b8-a84c-a382458fd73c.flac")</f>
        <v>collect\spontaneous\Facebook\BangladeshBetarNews\5be64be4-0975-48b8-a84c-a382458fd73c.flac</v>
      </c>
      <c r="B52" s="2">
        <f>IFERROR(__xludf.DUMMYFUNCTION("""COMPUTED_VALUE"""),15.0)</f>
        <v>15</v>
      </c>
      <c r="C52" s="2" t="str">
        <f>IFERROR(__xludf.DUMMYFUNCTION("""COMPUTED_VALUE"""),"পাথায় মনপুর পুলিশে মাহি নিশালক ফ্রে ডুন্গেল শুক্রবার বলেছেন নিরাপত্তা বাহিনী পরিস্থিত তি নিয়ন্ত্রণে আনছে সংঘা া আামাতের সেনাবাহিনী টহল দিচ্ছে খেলার খবার ক্রিকেট আর চট্টগ্রাম জোহুর আহমেদ চৌধুরী স্টেডিয়ামে")</f>
        <v>পাথায় মনপুর পুলিশে মাহি নিশালক ফ্রে ডুন্গেল শুক্রবার বলেছেন নিরাপত্তা বাহিনী পরিস্থিত তি নিয়ন্ত্রণে আনছে সংঘা া আামাতের সেনাবাহিনী টহল দিচ্ছে খেলার খবার ক্রিকেট আর চট্টগ্রাম জোহুর আহমেদ চৌধুরী স্টেডিয়ামে</v>
      </c>
      <c r="D52" s="2" t="str">
        <f>IFERROR(__xludf.DUMMYFUNCTION("""COMPUTED_VALUE"""),"No")</f>
        <v>No</v>
      </c>
      <c r="E52" s="2" t="str">
        <f>IFERROR(__xludf.DUMMYFUNCTION("""COMPUTED_VALUE"""),"Yes")</f>
        <v>Yes</v>
      </c>
      <c r="F52" s="2" t="str">
        <f>IFERROR(__xludf.DUMMYFUNCTION("""COMPUTED_VALUE"""),"Yes")</f>
        <v>Yes</v>
      </c>
      <c r="G52" s="2">
        <f>IFERROR(__xludf.DUMMYFUNCTION("""COMPUTED_VALUE"""),0.0)</f>
        <v>0</v>
      </c>
      <c r="H52" s="2">
        <f>IFERROR(__xludf.DUMMYFUNCTION("""COMPUTED_VALUE"""),0.5)</f>
        <v>0.5</v>
      </c>
      <c r="I52" s="2">
        <f>IFERROR(__xludf.DUMMYFUNCTION("""COMPUTED_VALUE"""),0.0)</f>
        <v>0</v>
      </c>
      <c r="J52" s="2">
        <f>IFERROR(__xludf.DUMMYFUNCTION("""COMPUTED_VALUE"""),0.0)</f>
        <v>0</v>
      </c>
      <c r="K52" s="2" t="str">
        <f>IFERROR(__xludf.DUMMYFUNCTION("""COMPUTED_VALUE"""),"4– Usable, minor flaws Minor background noise.")</f>
        <v>4– Usable, minor flaws Minor background noise.</v>
      </c>
      <c r="L52" s="2" t="str">
        <f>IFERROR(__xludf.DUMMYFUNCTION("""COMPUTED_VALUE"""),"No")</f>
        <v>No</v>
      </c>
    </row>
    <row r="53">
      <c r="A53" s="2" t="str">
        <f>IFERROR(__xludf.DUMMYFUNCTION("""COMPUTED_VALUE"""),"collect\spontaneous\Facebook\BangladeshBetarNews\5c43cae9-9f3b-4c11-bc9a-8e1a159f5140.flac")</f>
        <v>collect\spontaneous\Facebook\BangladeshBetarNews\5c43cae9-9f3b-4c11-bc9a-8e1a159f5140.flac</v>
      </c>
      <c r="B53" s="2">
        <f>IFERROR(__xludf.DUMMYFUNCTION("""COMPUTED_VALUE"""),15.0)</f>
        <v>15</v>
      </c>
      <c r="C53" s="2" t="str">
        <f>IFERROR(__xludf.DUMMYFUNCTION("""COMPUTED_VALUE"""),"ন্ত্রীউন্নয়ন প্রকল্প নির্বাচনীে নস্বার্থকী সর্বোচ্চ াধিকার দেয়ার তাগিদ রাষ্ট্রপতির ঈদের আগে ক্ষতিগ্রস্ত সরক মেরামাতের নির্দেশ সড় পরিবহন ও সেতুমন্ত্রী")</f>
        <v>ন্ত্রীউন্নয়ন প্রকল্প নির্বাচনীে নস্বার্থকী সর্বোচ্চ াধিকার দেয়ার তাগিদ রাষ্ট্রপতির ঈদের আগে ক্ষতিগ্রস্ত সরক মেরামাতের নির্দেশ সড় পরিবহন ও সেতুমন্ত্রী</v>
      </c>
      <c r="D53" s="2" t="str">
        <f>IFERROR(__xludf.DUMMYFUNCTION("""COMPUTED_VALUE"""),"No")</f>
        <v>No</v>
      </c>
      <c r="E53" s="2" t="str">
        <f>IFERROR(__xludf.DUMMYFUNCTION("""COMPUTED_VALUE"""),"Yes")</f>
        <v>Yes</v>
      </c>
      <c r="F53" s="2" t="str">
        <f>IFERROR(__xludf.DUMMYFUNCTION("""COMPUTED_VALUE"""),"Yes")</f>
        <v>Yes</v>
      </c>
      <c r="G53" s="2">
        <f>IFERROR(__xludf.DUMMYFUNCTION("""COMPUTED_VALUE"""),0.5)</f>
        <v>0.5</v>
      </c>
      <c r="H53" s="2">
        <f>IFERROR(__xludf.DUMMYFUNCTION("""COMPUTED_VALUE"""),0.5)</f>
        <v>0.5</v>
      </c>
      <c r="I53" s="2">
        <f>IFERROR(__xludf.DUMMYFUNCTION("""COMPUTED_VALUE"""),1.0)</f>
        <v>1</v>
      </c>
      <c r="J53" s="2">
        <f>IFERROR(__xludf.DUMMYFUNCTION("""COMPUTED_VALUE"""),0.5)</f>
        <v>0.5</v>
      </c>
      <c r="K53" s="2" t="str">
        <f>IFERROR(__xludf.DUMMYFUNCTION("""COMPUTED_VALUE"""),"4– Usable, minor flaws Minor background noise.")</f>
        <v>4– Usable, minor flaws Minor background noise.</v>
      </c>
      <c r="L53" s="2" t="str">
        <f>IFERROR(__xludf.DUMMYFUNCTION("""COMPUTED_VALUE"""),"No")</f>
        <v>No</v>
      </c>
    </row>
    <row r="54">
      <c r="A54" s="2" t="str">
        <f>IFERROR(__xludf.DUMMYFUNCTION("""COMPUTED_VALUE"""),"collect\spontaneous\Facebook\BangladeshBetarNews\5c868aca-cdb3-47d6-9e90-fd9ad6f8a4e2.flac")</f>
        <v>collect\spontaneous\Facebook\BangladeshBetarNews\5c868aca-cdb3-47d6-9e90-fd9ad6f8a4e2.flac</v>
      </c>
      <c r="B54" s="2">
        <f>IFERROR(__xludf.DUMMYFUNCTION("""COMPUTED_VALUE"""),15.0)</f>
        <v>15</v>
      </c>
      <c r="C54" s="2" t="str">
        <f>IFERROR(__xludf.DUMMYFUNCTION("""COMPUTED_VALUE"""),"শোফন ইসলাম বাংলাদেশ পেতার বাংলাদেশ ও ব্রেটিন পারস্পরি ি সুবিধার জন্যই দ্বীপক্ষীয় বাণিজ্য ব্যবসা ও বিনিগ কে আরও জোরদার করতে সম্মত হয়েছে বাংলাদেশে নিযুক্ত ব্রিটিশ হাইকমিশনার সারার")</f>
        <v>শোফন ইসলাম বাংলাদেশ পেতার বাংলাদেশ ও ব্রেটিন পারস্পরি ি সুবিধার জন্যই দ্বীপক্ষীয় বাণিজ্য ব্যবসা ও বিনিগ কে আরও জোরদার করতে সম্মত হয়েছে বাংলাদেশে নিযুক্ত ব্রিটিশ হাইকমিশনার সারার</v>
      </c>
      <c r="D54" s="2" t="str">
        <f>IFERROR(__xludf.DUMMYFUNCTION("""COMPUTED_VALUE"""),"No")</f>
        <v>No</v>
      </c>
      <c r="E54" s="2" t="str">
        <f>IFERROR(__xludf.DUMMYFUNCTION("""COMPUTED_VALUE"""),"Yes")</f>
        <v>Yes</v>
      </c>
      <c r="F54" s="2" t="str">
        <f>IFERROR(__xludf.DUMMYFUNCTION("""COMPUTED_VALUE"""),"Yes")</f>
        <v>Yes</v>
      </c>
      <c r="G54" s="2">
        <f>IFERROR(__xludf.DUMMYFUNCTION("""COMPUTED_VALUE"""),0.0)</f>
        <v>0</v>
      </c>
      <c r="H54" s="2">
        <f>IFERROR(__xludf.DUMMYFUNCTION("""COMPUTED_VALUE"""),0.0)</f>
        <v>0</v>
      </c>
      <c r="I54" s="2">
        <f>IFERROR(__xludf.DUMMYFUNCTION("""COMPUTED_VALUE"""),0.0)</f>
        <v>0</v>
      </c>
      <c r="J54" s="2">
        <f>IFERROR(__xludf.DUMMYFUNCTION("""COMPUTED_VALUE"""),0.0)</f>
        <v>0</v>
      </c>
      <c r="K54" s="2" t="str">
        <f>IFERROR(__xludf.DUMMYFUNCTION("""COMPUTED_VALUE"""),"4– Usable, minor flaws Minor background noise.")</f>
        <v>4– Usable, minor flaws Minor background noise.</v>
      </c>
      <c r="L54" s="2" t="str">
        <f>IFERROR(__xludf.DUMMYFUNCTION("""COMPUTED_VALUE"""),"No")</f>
        <v>No</v>
      </c>
    </row>
    <row r="55">
      <c r="A55" s="2" t="str">
        <f>IFERROR(__xludf.DUMMYFUNCTION("""COMPUTED_VALUE"""),"collect\spontaneous\Facebook\BangladeshBetarNews\5ccefc4d-218b-4e24-8c1d-d9d473c62669.flac")</f>
        <v>collect\spontaneous\Facebook\BangladeshBetarNews\5ccefc4d-218b-4e24-8c1d-d9d473c62669.flac</v>
      </c>
      <c r="B55" s="2">
        <f>IFERROR(__xludf.DUMMYFUNCTION("""COMPUTED_VALUE"""),15.0)</f>
        <v>15</v>
      </c>
      <c r="C55" s="2" t="str">
        <f>IFERROR(__xludf.DUMMYFUNCTION("""COMPUTED_VALUE"""),"ব্যস্ত জনগণের সাথে তাদের কোনো সম্পৃক্ততা নেই বাংলাদেশ এনার্জি রেগুলেটরি কমিশন বি ইইআরসি তরলেকৃত পেট্রোলিয়াম গ্যাস সএলপিজির বারো কেজি সেলিন্ডারের দাম পঁচাত্তর টাকা ে")</f>
        <v>ব্যস্ত জনগণের সাথে তাদের কোনো সম্পৃক্ততা নেই বাংলাদেশ এনার্জি রেগুলেটরি কমিশন বি ইইআরসি তরলেকৃত পেট্রোলিয়াম গ্যাস সএলপিজির বারো কেজি সেলিন্ডারের দাম পঁচাত্তর টাকা ে</v>
      </c>
      <c r="D55" s="2" t="str">
        <f>IFERROR(__xludf.DUMMYFUNCTION("""COMPUTED_VALUE"""),"Yes")</f>
        <v>Yes</v>
      </c>
      <c r="E55" s="2" t="str">
        <f>IFERROR(__xludf.DUMMYFUNCTION("""COMPUTED_VALUE"""),"No")</f>
        <v>No</v>
      </c>
      <c r="F55" s="2" t="str">
        <f>IFERROR(__xludf.DUMMYFUNCTION("""COMPUTED_VALUE"""),"No")</f>
        <v>No</v>
      </c>
      <c r="G55" s="2">
        <f>IFERROR(__xludf.DUMMYFUNCTION("""COMPUTED_VALUE"""),0.5)</f>
        <v>0.5</v>
      </c>
      <c r="H55" s="2">
        <f>IFERROR(__xludf.DUMMYFUNCTION("""COMPUTED_VALUE"""),1.0)</f>
        <v>1</v>
      </c>
      <c r="I55" s="2">
        <f>IFERROR(__xludf.DUMMYFUNCTION("""COMPUTED_VALUE"""),1.0)</f>
        <v>1</v>
      </c>
      <c r="J55" s="2">
        <f>IFERROR(__xludf.DUMMYFUNCTION("""COMPUTED_VALUE"""),1.0)</f>
        <v>1</v>
      </c>
      <c r="K55" s="2" t="str">
        <f>IFERROR(__xludf.DUMMYFUNCTION("""COMPUTED_VALUE"""),"5 – High-quality, Clean Bangla speech")</f>
        <v>5 – High-quality, Clean Bangla speech</v>
      </c>
      <c r="L55" s="2" t="str">
        <f>IFERROR(__xludf.DUMMYFUNCTION("""COMPUTED_VALUE"""),"No")</f>
        <v>No</v>
      </c>
    </row>
    <row r="56">
      <c r="A56" s="2" t="str">
        <f>IFERROR(__xludf.DUMMYFUNCTION("""COMPUTED_VALUE"""),"collect\spontaneous\Facebook\BangladeshBetarNews\5d51a879-a4f7-4f30-a5aa-16e27675f5f5.flac")</f>
        <v>collect\spontaneous\Facebook\BangladeshBetarNews\5d51a879-a4f7-4f30-a5aa-16e27675f5f5.flac</v>
      </c>
      <c r="B56" s="2">
        <f>IFERROR(__xludf.DUMMYFUNCTION("""COMPUTED_VALUE"""),15.0)</f>
        <v>15</v>
      </c>
      <c r="C56" s="2" t="str">
        <f>IFERROR(__xludf.DUMMYFUNCTION("""COMPUTED_VALUE"""),"হঠাৎ সংবাদ সম্মেলন ডাক তামিম ইকবালের জানি চারদিকে শুরু হয় গে নতামিম ইকবাল ক্যামেরার সামনে আসার আগেই আজ করা গিয়েছিল বড় কিছু হতে ে যাচ্ছে শেষ পর্যন্ত তাই হলো আন্তর্জাতিক ক্রিকেটকে বিদায় যান")</f>
        <v>হঠাৎ সংবাদ সম্মেলন ডাক তামিম ইকবালের জানি চারদিকে শুরু হয় গে নতামিম ইকবাল ক্যামেরার সামনে আসার আগেই আজ করা গিয়েছিল বড় কিছু হতে ে যাচ্ছে শেষ পর্যন্ত তাই হলো আন্তর্জাতিক ক্রিকেটকে বিদায় যান</v>
      </c>
      <c r="D56" s="2" t="str">
        <f>IFERROR(__xludf.DUMMYFUNCTION("""COMPUTED_VALUE"""),"Yes")</f>
        <v>Yes</v>
      </c>
      <c r="E56" s="2" t="str">
        <f>IFERROR(__xludf.DUMMYFUNCTION("""COMPUTED_VALUE"""),"Yes")</f>
        <v>Yes</v>
      </c>
      <c r="F56" s="2" t="str">
        <f>IFERROR(__xludf.DUMMYFUNCTION("""COMPUTED_VALUE"""),"Yes")</f>
        <v>Yes</v>
      </c>
      <c r="G56" s="2">
        <f>IFERROR(__xludf.DUMMYFUNCTION("""COMPUTED_VALUE"""),0.5)</f>
        <v>0.5</v>
      </c>
      <c r="H56" s="2">
        <f>IFERROR(__xludf.DUMMYFUNCTION("""COMPUTED_VALUE"""),0.5)</f>
        <v>0.5</v>
      </c>
      <c r="I56" s="2">
        <f>IFERROR(__xludf.DUMMYFUNCTION("""COMPUTED_VALUE"""),1.0)</f>
        <v>1</v>
      </c>
      <c r="J56" s="2">
        <f>IFERROR(__xludf.DUMMYFUNCTION("""COMPUTED_VALUE"""),0.5)</f>
        <v>0.5</v>
      </c>
      <c r="K56" s="2" t="str">
        <f>IFERROR(__xludf.DUMMYFUNCTION("""COMPUTED_VALUE"""),"5 – High-quality, Clean Bangla speech")</f>
        <v>5 – High-quality, Clean Bangla speech</v>
      </c>
      <c r="L56" s="2" t="str">
        <f>IFERROR(__xludf.DUMMYFUNCTION("""COMPUTED_VALUE"""),"No")</f>
        <v>No</v>
      </c>
    </row>
    <row r="57">
      <c r="A57" s="2" t="str">
        <f>IFERROR(__xludf.DUMMYFUNCTION("""COMPUTED_VALUE"""),"collect\spontaneous\Facebook\BangladeshBetarNews\5d6ee670-31d1-4c58-93ef-1584713f88d5.flac")</f>
        <v>collect\spontaneous\Facebook\BangladeshBetarNews\5d6ee670-31d1-4c58-93ef-1584713f88d5.flac</v>
      </c>
      <c r="B57" s="2">
        <f>IFERROR(__xludf.DUMMYFUNCTION("""COMPUTED_VALUE"""),15.0)</f>
        <v>15</v>
      </c>
      <c r="C57" s="2" t="str">
        <f>IFERROR(__xludf.DUMMYFUNCTION("""COMPUTED_VALUE"""),"মন্ত্রিসভায় সিদ্ধান্তে শতাি এজন ঈদের ছুটি ঘোষণা ইউক্রেন রাশিয়ায় যৌদ্ধ অতীত্র তঅপসংসব যে কোনো বিরোধীর শান্তিপূর্ণ নি স্পত্তি চায় বাংলাদেশ ইউক্রেইনের প্রধানমন্ত্রীর সঙ্গে টেরিফোন আলাপে বললেন শেখ হাসিনা")</f>
        <v>মন্ত্রিসভায় সিদ্ধান্তে শতাি এজন ঈদের ছুটি ঘোষণা ইউক্রেন রাশিয়ায় যৌদ্ধ অতীত্র তঅপসংসব যে কোনো বিরোধীর শান্তিপূর্ণ নি স্পত্তি চায় বাংলাদেশ ইউক্রেইনের প্রধানমন্ত্রীর সঙ্গে টেরিফোন আলাপে বললেন শেখ হাসিনা</v>
      </c>
      <c r="D57" s="2" t="str">
        <f>IFERROR(__xludf.DUMMYFUNCTION("""COMPUTED_VALUE"""),"No")</f>
        <v>No</v>
      </c>
      <c r="E57" s="2" t="str">
        <f>IFERROR(__xludf.DUMMYFUNCTION("""COMPUTED_VALUE"""),"Yes")</f>
        <v>Yes</v>
      </c>
      <c r="F57" s="2" t="str">
        <f>IFERROR(__xludf.DUMMYFUNCTION("""COMPUTED_VALUE"""),"Yes")</f>
        <v>Yes</v>
      </c>
      <c r="G57" s="2">
        <f>IFERROR(__xludf.DUMMYFUNCTION("""COMPUTED_VALUE"""),0.0)</f>
        <v>0</v>
      </c>
      <c r="H57" s="2">
        <f>IFERROR(__xludf.DUMMYFUNCTION("""COMPUTED_VALUE"""),0.0)</f>
        <v>0</v>
      </c>
      <c r="I57" s="2">
        <f>IFERROR(__xludf.DUMMYFUNCTION("""COMPUTED_VALUE"""),0.0)</f>
        <v>0</v>
      </c>
      <c r="J57" s="2">
        <f>IFERROR(__xludf.DUMMYFUNCTION("""COMPUTED_VALUE"""),0.0)</f>
        <v>0</v>
      </c>
      <c r="K57" s="2" t="str">
        <f>IFERROR(__xludf.DUMMYFUNCTION("""COMPUTED_VALUE"""),"5 – High-quality, Clean Bangla speech")</f>
        <v>5 – High-quality, Clean Bangla speech</v>
      </c>
      <c r="L57" s="2" t="str">
        <f>IFERROR(__xludf.DUMMYFUNCTION("""COMPUTED_VALUE"""),"No")</f>
        <v>No</v>
      </c>
    </row>
    <row r="58">
      <c r="A58" s="2" t="str">
        <f>IFERROR(__xludf.DUMMYFUNCTION("""COMPUTED_VALUE"""),"collect\spontaneous\Facebook\BangladeshBetarNews\62026877-7439-4858-a754-6d463fb22c0c.flac")</f>
        <v>collect\spontaneous\Facebook\BangladeshBetarNews\62026877-7439-4858-a754-6d463fb22c0c.flac</v>
      </c>
      <c r="B58" s="2">
        <f>IFERROR(__xludf.DUMMYFUNCTION("""COMPUTED_VALUE"""),15.0)</f>
        <v>15</v>
      </c>
      <c r="C58" s="2" t="str">
        <f>IFERROR(__xludf.DUMMYFUNCTION("""COMPUTED_VALUE"""),"প্রয়োগ করা ক্ষুব প্রজোজন মোজামি মন করি ঢাকা উত্ত সুর সিটির মতোই এবার মশা ধ্বংস করতে বিটিআইর ব্যবহারের কথায় ভাবছে ঢাকার দক্ষ ক্ষিণ ও চট্টগ্রাম সিটি কর্পোরেশন ওসিম আকরাম বাংলাদেশ বেতার এবার আন্তর্জাতিক")</f>
        <v>প্রয়োগ করা ক্ষুব প্রজোজন মোজামি মন করি ঢাকা উত্ত সুর সিটির মতোই এবার মশা ধ্বংস করতে বিটিআইর ব্যবহারের কথায় ভাবছে ঢাকার দক্ষ ক্ষিণ ও চট্টগ্রাম সিটি কর্পোরেশন ওসিম আকরাম বাংলাদেশ বেতার এবার আন্তর্জাতিক</v>
      </c>
      <c r="D58" s="2" t="str">
        <f>IFERROR(__xludf.DUMMYFUNCTION("""COMPUTED_VALUE"""),"No")</f>
        <v>No</v>
      </c>
      <c r="E58" s="2" t="str">
        <f>IFERROR(__xludf.DUMMYFUNCTION("""COMPUTED_VALUE"""),"Yes")</f>
        <v>Yes</v>
      </c>
      <c r="F58" s="2" t="str">
        <f>IFERROR(__xludf.DUMMYFUNCTION("""COMPUTED_VALUE"""),"Yes")</f>
        <v>Yes</v>
      </c>
      <c r="G58" s="2">
        <f>IFERROR(__xludf.DUMMYFUNCTION("""COMPUTED_VALUE"""),0.5)</f>
        <v>0.5</v>
      </c>
      <c r="H58" s="2">
        <f>IFERROR(__xludf.DUMMYFUNCTION("""COMPUTED_VALUE"""),0.5)</f>
        <v>0.5</v>
      </c>
      <c r="I58" s="2">
        <f>IFERROR(__xludf.DUMMYFUNCTION("""COMPUTED_VALUE"""),0.5)</f>
        <v>0.5</v>
      </c>
      <c r="J58" s="2">
        <f>IFERROR(__xludf.DUMMYFUNCTION("""COMPUTED_VALUE"""),0.5)</f>
        <v>0.5</v>
      </c>
      <c r="K58" s="2" t="str">
        <f>IFERROR(__xludf.DUMMYFUNCTION("""COMPUTED_VALUE"""),"5 – High-quality, Clean Bangla speech")</f>
        <v>5 – High-quality, Clean Bangla speech</v>
      </c>
      <c r="L58" s="2" t="str">
        <f>IFERROR(__xludf.DUMMYFUNCTION("""COMPUTED_VALUE"""),"No")</f>
        <v>No</v>
      </c>
    </row>
    <row r="59">
      <c r="A59" s="2" t="str">
        <f>IFERROR(__xludf.DUMMYFUNCTION("""COMPUTED_VALUE"""),"collect\spontaneous\Facebook\BangladeshBetarNews\623b314e-0cde-48a2-82d5-0487b2e974d1.flac")</f>
        <v>collect\spontaneous\Facebook\BangladeshBetarNews\623b314e-0cde-48a2-82d5-0487b2e974d1.flac</v>
      </c>
      <c r="B59" s="2">
        <f>IFERROR(__xludf.DUMMYFUNCTION("""COMPUTED_VALUE"""),15.0)</f>
        <v>15</v>
      </c>
      <c r="C59" s="2" t="str">
        <f>IFERROR(__xludf.DUMMYFUNCTION("""COMPUTED_VALUE"""),"সতে দেড় দশকের উন্নয়নের পা ন স্মার্ট বাংলাদেশের অগ্রগতি বাজেট উপে স্থাপন করবেন অন্যদিকে সাড়ে সাত শতাংশ প্রবি ক্ী অর্জনের মোট বিনিয়োগ ি লক্ষ্যমাত্রা হবে জিডিপির টে ত্রিশ দশমিক আট শতাংশ বে কছি")</f>
        <v>সতে দেড় দশকের উন্নয়নের পা ন স্মার্ট বাংলাদেশের অগ্রগতি বাজেট উপে স্থাপন করবেন অন্যদিকে সাড়ে সাত শতাংশ প্রবি ক্ী অর্জনের মোট বিনিয়োগ ি লক্ষ্যমাত্রা হবে জিডিপির টে ত্রিশ দশমিক আট শতাংশ বে কছি</v>
      </c>
      <c r="D59" s="2" t="str">
        <f>IFERROR(__xludf.DUMMYFUNCTION("""COMPUTED_VALUE"""),"No")</f>
        <v>No</v>
      </c>
      <c r="E59" s="2" t="str">
        <f>IFERROR(__xludf.DUMMYFUNCTION("""COMPUTED_VALUE"""),"Yes")</f>
        <v>Yes</v>
      </c>
      <c r="F59" s="2" t="str">
        <f>IFERROR(__xludf.DUMMYFUNCTION("""COMPUTED_VALUE"""),"Yes")</f>
        <v>Yes</v>
      </c>
      <c r="G59" s="2">
        <f>IFERROR(__xludf.DUMMYFUNCTION("""COMPUTED_VALUE"""),0.0)</f>
        <v>0</v>
      </c>
      <c r="H59" s="2">
        <f>IFERROR(__xludf.DUMMYFUNCTION("""COMPUTED_VALUE"""),0.0)</f>
        <v>0</v>
      </c>
      <c r="I59" s="2">
        <f>IFERROR(__xludf.DUMMYFUNCTION("""COMPUTED_VALUE"""),0.0)</f>
        <v>0</v>
      </c>
      <c r="J59" s="2">
        <f>IFERROR(__xludf.DUMMYFUNCTION("""COMPUTED_VALUE"""),0.0)</f>
        <v>0</v>
      </c>
      <c r="K59" s="2" t="str">
        <f>IFERROR(__xludf.DUMMYFUNCTION("""COMPUTED_VALUE"""),"4– Usable, minor flaws Minor background noise.")</f>
        <v>4– Usable, minor flaws Minor background noise.</v>
      </c>
      <c r="L59" s="2" t="str">
        <f>IFERROR(__xludf.DUMMYFUNCTION("""COMPUTED_VALUE"""),"No")</f>
        <v>No</v>
      </c>
    </row>
    <row r="60">
      <c r="A60" s="2" t="str">
        <f>IFERROR(__xludf.DUMMYFUNCTION("""COMPUTED_VALUE"""),"collect\spontaneous\Facebook\BangladeshBetarNews\6292ccb6-4c08-4bf3-a64d-777a4e1a0d19.flac")</f>
        <v>collect\spontaneous\Facebook\BangladeshBetarNews\6292ccb6-4c08-4bf3-a64d-777a4e1a0d19.flac</v>
      </c>
      <c r="B60" s="2">
        <f>IFERROR(__xludf.DUMMYFUNCTION("""COMPUTED_VALUE"""),15.0)</f>
        <v>15</v>
      </c>
      <c r="C60" s="2" t="str">
        <f>IFERROR(__xludf.DUMMYFUNCTION("""COMPUTED_VALUE"""),"অনুষ্ঠানে বক্তব্যে সড়ূক পরিবহন শেতুমন্ত্রী বলেন পদ্মা সেতু নিয়ে শুধু বিশ্ব ব্যাংকে দায়ী করা যায়ে বেনা এর সঙ্গে দেশের কিছু ব্যক্তিও জড়িত ছিল খবর প্রচারিত হচ্ছে বাংলাদেশ বেতার থেকে")</f>
        <v>অনুষ্ঠানে বক্তব্যে সড়ূক পরিবহন শেতুমন্ত্রী বলেন পদ্মা সেতু নিয়ে শুধু বিশ্ব ব্যাংকে দায়ী করা যায়ে বেনা এর সঙ্গে দেশের কিছু ব্যক্তিও জড়িত ছিল খবর প্রচারিত হচ্ছে বাংলাদেশ বেতার থেকে</v>
      </c>
      <c r="D60" s="2" t="str">
        <f>IFERROR(__xludf.DUMMYFUNCTION("""COMPUTED_VALUE"""),"No")</f>
        <v>No</v>
      </c>
      <c r="E60" s="2" t="str">
        <f>IFERROR(__xludf.DUMMYFUNCTION("""COMPUTED_VALUE"""),"No")</f>
        <v>No</v>
      </c>
      <c r="F60" s="2" t="str">
        <f>IFERROR(__xludf.DUMMYFUNCTION("""COMPUTED_VALUE"""),"Yes")</f>
        <v>Yes</v>
      </c>
      <c r="G60" s="2">
        <f>IFERROR(__xludf.DUMMYFUNCTION("""COMPUTED_VALUE"""),0.5)</f>
        <v>0.5</v>
      </c>
      <c r="H60" s="2">
        <f>IFERROR(__xludf.DUMMYFUNCTION("""COMPUTED_VALUE"""),0.5)</f>
        <v>0.5</v>
      </c>
      <c r="I60" s="2">
        <f>IFERROR(__xludf.DUMMYFUNCTION("""COMPUTED_VALUE"""),0.5)</f>
        <v>0.5</v>
      </c>
      <c r="J60" s="2">
        <f>IFERROR(__xludf.DUMMYFUNCTION("""COMPUTED_VALUE"""),0.5)</f>
        <v>0.5</v>
      </c>
      <c r="K60" s="2" t="str">
        <f>IFERROR(__xludf.DUMMYFUNCTION("""COMPUTED_VALUE"""),"5 – High-quality, Clean Bangla speech")</f>
        <v>5 – High-quality, Clean Bangla speech</v>
      </c>
      <c r="L60" s="2" t="str">
        <f>IFERROR(__xludf.DUMMYFUNCTION("""COMPUTED_VALUE"""),"No")</f>
        <v>No</v>
      </c>
    </row>
    <row r="61">
      <c r="A61" s="2" t="str">
        <f>IFERROR(__xludf.DUMMYFUNCTION("""COMPUTED_VALUE"""),"collect\spontaneous\Facebook\BangladeshBetarNews\62adcc0a-502c-4224-8ea1-83257494f10b.flac")</f>
        <v>collect\spontaneous\Facebook\BangladeshBetarNews\62adcc0a-502c-4224-8ea1-83257494f10b.flac</v>
      </c>
      <c r="B61" s="2">
        <f>IFERROR(__xludf.DUMMYFUNCTION("""COMPUTED_VALUE"""),15.0)</f>
        <v>15</v>
      </c>
      <c r="C61" s="2" t="str">
        <f>IFERROR(__xludf.DUMMYFUNCTION("""COMPUTED_VALUE"""),"কশো পঁচাত্তর সালের পনেরো আগস্ট জাতির পিতা বঙ্গবন্ধু শেখ মুজিবুর রহমানের সঙ্গে সৎ ও নিধারী তরুণ শেখ কানারকেও নৃশংসন ভবে হত্যা করে খাটকরা মনসির করির বাংলাদেশ পেতার")</f>
        <v>কশো পঁচাত্তর সালের পনেরো আগস্ট জাতির পিতা বঙ্গবন্ধু শেখ মুজিবুর রহমানের সঙ্গে সৎ ও নিধারী তরুণ শেখ কানারকেও নৃশংসন ভবে হত্যা করে খাটকরা মনসির করির বাংলাদেশ পেতার</v>
      </c>
      <c r="D61" s="2" t="str">
        <f>IFERROR(__xludf.DUMMYFUNCTION("""COMPUTED_VALUE"""),"No")</f>
        <v>No</v>
      </c>
      <c r="E61" s="2" t="str">
        <f>IFERROR(__xludf.DUMMYFUNCTION("""COMPUTED_VALUE"""),"No")</f>
        <v>No</v>
      </c>
      <c r="F61" s="2" t="str">
        <f>IFERROR(__xludf.DUMMYFUNCTION("""COMPUTED_VALUE"""),"Yes")</f>
        <v>Yes</v>
      </c>
      <c r="G61" s="2">
        <f>IFERROR(__xludf.DUMMYFUNCTION("""COMPUTED_VALUE"""),0.0)</f>
        <v>0</v>
      </c>
      <c r="H61" s="2">
        <f>IFERROR(__xludf.DUMMYFUNCTION("""COMPUTED_VALUE"""),0.0)</f>
        <v>0</v>
      </c>
      <c r="I61" s="2">
        <f>IFERROR(__xludf.DUMMYFUNCTION("""COMPUTED_VALUE"""),0.0)</f>
        <v>0</v>
      </c>
      <c r="J61" s="2">
        <f>IFERROR(__xludf.DUMMYFUNCTION("""COMPUTED_VALUE"""),0.0)</f>
        <v>0</v>
      </c>
      <c r="K61" s="2" t="str">
        <f>IFERROR(__xludf.DUMMYFUNCTION("""COMPUTED_VALUE"""),"5 – High-quality, Clean Bangla speech")</f>
        <v>5 – High-quality, Clean Bangla speech</v>
      </c>
      <c r="L61" s="2" t="str">
        <f>IFERROR(__xludf.DUMMYFUNCTION("""COMPUTED_VALUE"""),"No")</f>
        <v>No</v>
      </c>
    </row>
    <row r="62">
      <c r="A62" s="2" t="str">
        <f>IFERROR(__xludf.DUMMYFUNCTION("""COMPUTED_VALUE"""),"collect\spontaneous\Facebook\BangladeshBetarNews\639a4de2-87dc-4a3f-9c6d-aa3d31ff0881.flac")</f>
        <v>collect\spontaneous\Facebook\BangladeshBetarNews\639a4de2-87dc-4a3f-9c6d-aa3d31ff0881.flac</v>
      </c>
      <c r="B62" s="2">
        <f>IFERROR(__xludf.DUMMYFUNCTION("""COMPUTED_VALUE"""),15.0)</f>
        <v>15</v>
      </c>
      <c r="C62" s="2" t="str">
        <f>IFERROR(__xludf.DUMMYFUNCTION("""COMPUTED_VALUE"""),"গ্যাসটি উত্তম ব্যাবহারের জন্য বলার এই ক্যাচটি আবং চেয়েই বলতে যে নতুন কে তোর আবিষ্করা হলো ইলিশা এরএক সময় আছে নিে একটা পরিকল্পনা তৈরি বিশেষ করে ফোলা থেকে ফেনী পে কন্ত পাইপ লাই্ট করা যায় কিনা আমাদের যে")</f>
        <v>গ্যাসটি উত্তম ব্যাবহারের জন্য বলার এই ক্যাচটি আবং চেয়েই বলতে যে নতুন কে তোর আবিষ্করা হলো ইলিশা এরএক সময় আছে নিে একটা পরিকল্পনা তৈরি বিশেষ করে ফোলা থেকে ফেনী পে কন্ত পাইপ লাই্ট করা যায় কিনা আমাদের যে</v>
      </c>
      <c r="D62" s="2" t="str">
        <f>IFERROR(__xludf.DUMMYFUNCTION("""COMPUTED_VALUE"""),"No")</f>
        <v>No</v>
      </c>
      <c r="E62" s="2" t="str">
        <f>IFERROR(__xludf.DUMMYFUNCTION("""COMPUTED_VALUE"""),"Yes")</f>
        <v>Yes</v>
      </c>
      <c r="F62" s="2" t="str">
        <f>IFERROR(__xludf.DUMMYFUNCTION("""COMPUTED_VALUE"""),"Yes")</f>
        <v>Yes</v>
      </c>
      <c r="G62" s="2">
        <f>IFERROR(__xludf.DUMMYFUNCTION("""COMPUTED_VALUE"""),0.0)</f>
        <v>0</v>
      </c>
      <c r="H62" s="2">
        <f>IFERROR(__xludf.DUMMYFUNCTION("""COMPUTED_VALUE"""),0.0)</f>
        <v>0</v>
      </c>
      <c r="I62" s="2">
        <f>IFERROR(__xludf.DUMMYFUNCTION("""COMPUTED_VALUE"""),0.0)</f>
        <v>0</v>
      </c>
      <c r="J62" s="2">
        <f>IFERROR(__xludf.DUMMYFUNCTION("""COMPUTED_VALUE"""),0.0)</f>
        <v>0</v>
      </c>
      <c r="K62" s="2" t="str">
        <f>IFERROR(__xludf.DUMMYFUNCTION("""COMPUTED_VALUE"""),"2 - Poor quality Noisy, unclear,")</f>
        <v>2 - Poor quality Noisy, unclear,</v>
      </c>
      <c r="L62" s="2" t="str">
        <f>IFERROR(__xludf.DUMMYFUNCTION("""COMPUTED_VALUE"""),"No")</f>
        <v>No</v>
      </c>
    </row>
    <row r="63">
      <c r="A63" s="2" t="str">
        <f>IFERROR(__xludf.DUMMYFUNCTION("""COMPUTED_VALUE"""),"collect\spontaneous\Facebook\BangladeshBetarNews\639e478d-422b-4d28-a319-83102a47251d.flac")</f>
        <v>collect\spontaneous\Facebook\BangladeshBetarNews\639e478d-422b-4d28-a319-83102a47251d.flac</v>
      </c>
      <c r="B63" s="2">
        <f>IFERROR(__xludf.DUMMYFUNCTION("""COMPUTED_VALUE"""),15.0)</f>
        <v>15</v>
      </c>
      <c r="C63" s="2" t="str">
        <f>IFERROR(__xludf.DUMMYFUNCTION("""COMPUTED_VALUE"""),"কছনের শুনতেই ছাড়িয়েছে লক্ষ্যমাত্রা মুক্তিযুদ্ধের অন্যতম সে সংগঠক ক্রীড়া ও সাংস্কৃতিক ব্যক্তিত্ব শহীদ শে কামালীর চুনাত্তর তম জন্মবার্ষি জ বিএনপি তা")</f>
        <v>কছনের শুনতেই ছাড়িয়েছে লক্ষ্যমাত্রা মুক্তিযুদ্ধের অন্যতম সে সংগঠক ক্রীড়া ও সাংস্কৃতিক ব্যক্তিত্ব শহীদ শে কামালীর চুনাত্তর তম জন্মবার্ষি জ বিএনপি তা</v>
      </c>
      <c r="D63" s="2" t="str">
        <f>IFERROR(__xludf.DUMMYFUNCTION("""COMPUTED_VALUE"""),"No")</f>
        <v>No</v>
      </c>
      <c r="E63" s="2" t="str">
        <f>IFERROR(__xludf.DUMMYFUNCTION("""COMPUTED_VALUE"""),"Yes")</f>
        <v>Yes</v>
      </c>
      <c r="F63" s="2" t="str">
        <f>IFERROR(__xludf.DUMMYFUNCTION("""COMPUTED_VALUE"""),"Yes")</f>
        <v>Yes</v>
      </c>
      <c r="G63" s="2">
        <f>IFERROR(__xludf.DUMMYFUNCTION("""COMPUTED_VALUE"""),0.0)</f>
        <v>0</v>
      </c>
      <c r="H63" s="2">
        <f>IFERROR(__xludf.DUMMYFUNCTION("""COMPUTED_VALUE"""),0.0)</f>
        <v>0</v>
      </c>
      <c r="I63" s="2">
        <f>IFERROR(__xludf.DUMMYFUNCTION("""COMPUTED_VALUE"""),0.0)</f>
        <v>0</v>
      </c>
      <c r="J63" s="2">
        <f>IFERROR(__xludf.DUMMYFUNCTION("""COMPUTED_VALUE"""),0.0)</f>
        <v>0</v>
      </c>
      <c r="K63" s="2" t="str">
        <f>IFERROR(__xludf.DUMMYFUNCTION("""COMPUTED_VALUE"""),"5 – High-quality, Clean Bangla speech")</f>
        <v>5 – High-quality, Clean Bangla speech</v>
      </c>
      <c r="L63" s="2" t="str">
        <f>IFERROR(__xludf.DUMMYFUNCTION("""COMPUTED_VALUE"""),"Yes")</f>
        <v>Yes</v>
      </c>
    </row>
    <row r="64">
      <c r="A64" s="2" t="str">
        <f>IFERROR(__xludf.DUMMYFUNCTION("""COMPUTED_VALUE"""),"collect\spontaneous\Facebook\BangladeshBetarNews\63a99f05-9e17-45d7-a1eb-7ef3985333a6.flac")</f>
        <v>collect\spontaneous\Facebook\BangladeshBetarNews\63a99f05-9e17-45d7-a1eb-7ef3985333a6.flac</v>
      </c>
      <c r="B64" s="2">
        <f>IFERROR(__xludf.DUMMYFUNCTION("""COMPUTED_VALUE"""),13.016)</f>
        <v>13.016</v>
      </c>
      <c r="C64" s="2" t="str">
        <f>IFERROR(__xludf.DUMMYFUNCTION("""COMPUTED_VALUE"""),"অ্ ধর্মীয় ভাবগাম্ভীজের মধ্যে মুসলিম বিশ্বের মতো আজ বাংলাদেশেও পালন ্ হলো পবিত্র আশুরা প্রায় এক হাজার তিনশো আটটিশ বছরে াআগে এই দিনে মহানবি হযরত মুহাম্মদ সা ালাহি সালামি দৌহিত্র হযরত ইমান")</f>
        <v>অ্ ধর্মীয় ভাবগাম্ভীজের মধ্যে মুসলিম বিশ্বের মতো আজ বাংলাদেশেও পালন ্ হলো পবিত্র আশুরা প্রায় এক হাজার তিনশো আটটিশ বছরে াআগে এই দিনে মহানবি হযরত মুহাম্মদ সা ালাহি সালামি দৌহিত্র হযরত ইমান</v>
      </c>
      <c r="D64" s="2" t="str">
        <f>IFERROR(__xludf.DUMMYFUNCTION("""COMPUTED_VALUE"""),"No")</f>
        <v>No</v>
      </c>
      <c r="E64" s="2" t="str">
        <f>IFERROR(__xludf.DUMMYFUNCTION("""COMPUTED_VALUE"""),"No")</f>
        <v>No</v>
      </c>
      <c r="F64" s="2" t="str">
        <f>IFERROR(__xludf.DUMMYFUNCTION("""COMPUTED_VALUE"""),"Yes")</f>
        <v>Yes</v>
      </c>
      <c r="G64" s="2">
        <f>IFERROR(__xludf.DUMMYFUNCTION("""COMPUTED_VALUE"""),0.5)</f>
        <v>0.5</v>
      </c>
      <c r="H64" s="2">
        <f>IFERROR(__xludf.DUMMYFUNCTION("""COMPUTED_VALUE"""),0.5)</f>
        <v>0.5</v>
      </c>
      <c r="I64" s="2">
        <f>IFERROR(__xludf.DUMMYFUNCTION("""COMPUTED_VALUE"""),0.5)</f>
        <v>0.5</v>
      </c>
      <c r="J64" s="2">
        <f>IFERROR(__xludf.DUMMYFUNCTION("""COMPUTED_VALUE"""),0.5)</f>
        <v>0.5</v>
      </c>
      <c r="K64" s="2" t="str">
        <f>IFERROR(__xludf.DUMMYFUNCTION("""COMPUTED_VALUE"""),"5 – High-quality, Clean Bangla speech")</f>
        <v>5 – High-quality, Clean Bangla speech</v>
      </c>
      <c r="L64" s="2" t="str">
        <f>IFERROR(__xludf.DUMMYFUNCTION("""COMPUTED_VALUE"""),"No")</f>
        <v>No</v>
      </c>
    </row>
    <row r="65">
      <c r="A65" s="2" t="str">
        <f>IFERROR(__xludf.DUMMYFUNCTION("""COMPUTED_VALUE"""),"collect\spontaneous\Facebook\BangladeshBetarNews\6424608f-eb8d-4206-8b03-f60be77c1e59.flac")</f>
        <v>collect\spontaneous\Facebook\BangladeshBetarNews\6424608f-eb8d-4206-8b03-f60be77c1e59.flac</v>
      </c>
      <c r="B65" s="2">
        <f>IFERROR(__xludf.DUMMYFUNCTION("""COMPUTED_VALUE"""),15.0)</f>
        <v>15</v>
      </c>
      <c r="C65" s="2" t="str">
        <f>IFERROR(__xludf.DUMMYFUNCTION("""COMPUTED_VALUE"""),"পরে বাসের উপর আক্রগণ চালিয়েছেন এবং তারেক জিয়া নিজে ফোন করে তরে ওয়ার্ডলে মেলে নির্দের দিচ্ছে গাড়িতে আগুন দেওয়ার জন্য গাড়িগড়া আংচুর করার জন্য পুলিশের উপর আক্রমণ করার জন্য সেই")</f>
        <v>পরে বাসের উপর আক্রগণ চালিয়েছেন এবং তারেক জিয়া নিজে ফোন করে তরে ওয়ার্ডলে মেলে নির্দের দিচ্ছে গাড়িতে আগুন দেওয়ার জন্য গাড়িগড়া আংচুর করার জন্য পুলিশের উপর আক্রমণ করার জন্য সেই</v>
      </c>
      <c r="D65" s="2" t="str">
        <f>IFERROR(__xludf.DUMMYFUNCTION("""COMPUTED_VALUE"""),"No")</f>
        <v>No</v>
      </c>
      <c r="E65" s="2" t="str">
        <f>IFERROR(__xludf.DUMMYFUNCTION("""COMPUTED_VALUE"""),"Yes")</f>
        <v>Yes</v>
      </c>
      <c r="F65" s="2" t="str">
        <f>IFERROR(__xludf.DUMMYFUNCTION("""COMPUTED_VALUE"""),"Yes")</f>
        <v>Yes</v>
      </c>
      <c r="G65" s="2">
        <f>IFERROR(__xludf.DUMMYFUNCTION("""COMPUTED_VALUE"""),0.0)</f>
        <v>0</v>
      </c>
      <c r="H65" s="2">
        <f>IFERROR(__xludf.DUMMYFUNCTION("""COMPUTED_VALUE"""),0.0)</f>
        <v>0</v>
      </c>
      <c r="I65" s="2">
        <f>IFERROR(__xludf.DUMMYFUNCTION("""COMPUTED_VALUE"""),0.0)</f>
        <v>0</v>
      </c>
      <c r="J65" s="2">
        <f>IFERROR(__xludf.DUMMYFUNCTION("""COMPUTED_VALUE"""),0.0)</f>
        <v>0</v>
      </c>
      <c r="K65" s="2" t="str">
        <f>IFERROR(__xludf.DUMMYFUNCTION("""COMPUTED_VALUE"""),"5 – High-quality, Clean Bangla speech")</f>
        <v>5 – High-quality, Clean Bangla speech</v>
      </c>
      <c r="L65" s="2" t="str">
        <f>IFERROR(__xludf.DUMMYFUNCTION("""COMPUTED_VALUE"""),"No")</f>
        <v>No</v>
      </c>
    </row>
    <row r="66">
      <c r="A66" s="2" t="str">
        <f>IFERROR(__xludf.DUMMYFUNCTION("""COMPUTED_VALUE"""),"collect\spontaneous\Facebook\BangladeshBetarNews\65cfcdce-afb8-4185-bb9b-41f5b4985f0d.flac")</f>
        <v>collect\spontaneous\Facebook\BangladeshBetarNews\65cfcdce-afb8-4185-bb9b-41f5b4985f0d.flac</v>
      </c>
      <c r="B66" s="2">
        <f>IFERROR(__xludf.DUMMYFUNCTION("""COMPUTED_VALUE"""),15.0)</f>
        <v>15</v>
      </c>
      <c r="C66" s="2" t="str">
        <f>IFERROR(__xludf.DUMMYFUNCTION("""COMPUTED_VALUE"""),"স্ুল করায় বিএনপির লক্ষ্য গণমাধ্যমে পাঠানে ন বিবৃতিতে মন্তব্য আওয়ামী লীগ সাধারণ সম্পাদকের ধানমন্ত্রী শেখ হাসিনার দেশ পরিচালনার স্বীকৃতি জাতি কঙ্গেও বললেন তোথ ও সম্প্রচারমন্ত্রী আন্তর্জাতিক সমুদ্র সংস্থার মনসূচিব পে")</f>
        <v>স্ুল করায় বিএনপির লক্ষ্য গণমাধ্যমে পাঠানে ন বিবৃতিতে মন্তব্য আওয়ামী লীগ সাধারণ সম্পাদকের ধানমন্ত্রী শেখ হাসিনার দেশ পরিচালনার স্বীকৃতি জাতি কঙ্গেও বললেন তোথ ও সম্প্রচারমন্ত্রী আন্তর্জাতিক সমুদ্র সংস্থার মনসূচিব পে</v>
      </c>
      <c r="D66" s="2" t="str">
        <f>IFERROR(__xludf.DUMMYFUNCTION("""COMPUTED_VALUE"""),"No")</f>
        <v>No</v>
      </c>
      <c r="E66" s="2" t="str">
        <f>IFERROR(__xludf.DUMMYFUNCTION("""COMPUTED_VALUE"""),"Yes")</f>
        <v>Yes</v>
      </c>
      <c r="F66" s="2" t="str">
        <f>IFERROR(__xludf.DUMMYFUNCTION("""COMPUTED_VALUE"""),"Yes")</f>
        <v>Yes</v>
      </c>
      <c r="G66" s="2">
        <f>IFERROR(__xludf.DUMMYFUNCTION("""COMPUTED_VALUE"""),0.0)</f>
        <v>0</v>
      </c>
      <c r="H66" s="2">
        <f>IFERROR(__xludf.DUMMYFUNCTION("""COMPUTED_VALUE"""),0.0)</f>
        <v>0</v>
      </c>
      <c r="I66" s="2">
        <f>IFERROR(__xludf.DUMMYFUNCTION("""COMPUTED_VALUE"""),0.0)</f>
        <v>0</v>
      </c>
      <c r="J66" s="2">
        <f>IFERROR(__xludf.DUMMYFUNCTION("""COMPUTED_VALUE"""),0.0)</f>
        <v>0</v>
      </c>
      <c r="K66" s="2" t="str">
        <f>IFERROR(__xludf.DUMMYFUNCTION("""COMPUTED_VALUE"""),"5 – High-quality, Clean Bangla speech")</f>
        <v>5 – High-quality, Clean Bangla speech</v>
      </c>
      <c r="L66" s="2" t="str">
        <f>IFERROR(__xludf.DUMMYFUNCTION("""COMPUTED_VALUE"""),"No")</f>
        <v>No</v>
      </c>
    </row>
    <row r="67">
      <c r="A67" s="2" t="str">
        <f>IFERROR(__xludf.DUMMYFUNCTION("""COMPUTED_VALUE"""),"collect\spontaneous\Facebook\BangladeshBetarNews\663122b4-b504-4f49-825d-cf854d0bab04.flac")</f>
        <v>collect\spontaneous\Facebook\BangladeshBetarNews\663122b4-b504-4f49-825d-cf854d0bab04.flac</v>
      </c>
      <c r="B67" s="2">
        <f>IFERROR(__xludf.DUMMYFUNCTION("""COMPUTED_VALUE"""),15.0)</f>
        <v>15</v>
      </c>
      <c r="C67" s="2" t="str">
        <f>IFERROR(__xludf.DUMMYFUNCTION("""COMPUTED_VALUE"""),"ওবির হোক ির কি ডাউন বাংলা ভাষান সর্বচ্চ শেষ্ঠ কবি রবীন্দ্রনাথ ঠাকুর বাংলা ভাষা ও সাহিত্যকেপ পৌঁছে দিয়েছেন বিশ্ব পরিমণ্ডলে বাহান্নটি কাব্যগ্রহ কন্থু আটত্রিশটি নাটক")</f>
        <v>ওবির হোক ির কি ডাউন বাংলা ভাষান সর্বচ্চ শেষ্ঠ কবি রবীন্দ্রনাথ ঠাকুর বাংলা ভাষা ও সাহিত্যকেপ পৌঁছে দিয়েছেন বিশ্ব পরিমণ্ডলে বাহান্নটি কাব্যগ্রহ কন্থু আটত্রিশটি নাটক</v>
      </c>
      <c r="D67" s="2" t="str">
        <f>IFERROR(__xludf.DUMMYFUNCTION("""COMPUTED_VALUE"""),"No")</f>
        <v>No</v>
      </c>
      <c r="E67" s="2" t="str">
        <f>IFERROR(__xludf.DUMMYFUNCTION("""COMPUTED_VALUE"""),"Yes")</f>
        <v>Yes</v>
      </c>
      <c r="F67" s="2" t="str">
        <f>IFERROR(__xludf.DUMMYFUNCTION("""COMPUTED_VALUE"""),"Yes")</f>
        <v>Yes</v>
      </c>
      <c r="G67" s="2">
        <f>IFERROR(__xludf.DUMMYFUNCTION("""COMPUTED_VALUE"""),0.5)</f>
        <v>0.5</v>
      </c>
      <c r="H67" s="2">
        <f>IFERROR(__xludf.DUMMYFUNCTION("""COMPUTED_VALUE"""),0.5)</f>
        <v>0.5</v>
      </c>
      <c r="I67" s="2">
        <f>IFERROR(__xludf.DUMMYFUNCTION("""COMPUTED_VALUE"""),1.0)</f>
        <v>1</v>
      </c>
      <c r="J67" s="2">
        <f>IFERROR(__xludf.DUMMYFUNCTION("""COMPUTED_VALUE"""),0.5)</f>
        <v>0.5</v>
      </c>
      <c r="K67" s="2" t="str">
        <f>IFERROR(__xludf.DUMMYFUNCTION("""COMPUTED_VALUE"""),"3 – Mixed language or inconsistent quality")</f>
        <v>3 – Mixed language or inconsistent quality</v>
      </c>
      <c r="L67" s="2" t="str">
        <f>IFERROR(__xludf.DUMMYFUNCTION("""COMPUTED_VALUE"""),"No")</f>
        <v>No</v>
      </c>
    </row>
    <row r="68">
      <c r="A68" s="2" t="str">
        <f>IFERROR(__xludf.DUMMYFUNCTION("""COMPUTED_VALUE"""),"collect\spontaneous\Facebook\BangladeshBetarNews\6651a5b3-ceb4-469f-b1fe-69f555fea76b.flac")</f>
        <v>collect\spontaneous\Facebook\BangladeshBetarNews\6651a5b3-ceb4-469f-b1fe-69f555fea76b.flac</v>
      </c>
      <c r="B68" s="2">
        <f>IFERROR(__xludf.DUMMYFUNCTION("""COMPUTED_VALUE"""),15.0)</f>
        <v>15</v>
      </c>
      <c r="C68" s="2" t="str">
        <f>IFERROR(__xludf.DUMMYFUNCTION("""COMPUTED_VALUE"""),"লক্ষ পঁয়তাল্লিশ হাজার চৌষট্টি কোটি টাকা যা দুই হাজার তেইশ চব্বিশ অর্থ বছরে কিছুটা কমিয়ে আনা হয়েছে সংশোধিত বাজেটে আত্তির প্রস্তাব সে দুই লক্ষ সাতাশ হাজার পাঁচশো সাত যা জিডিপির পাঁচ দশমিক এক শতাংশ")</f>
        <v>লক্ষ পঁয়তাল্লিশ হাজার চৌষট্টি কোটি টাকা যা দুই হাজার তেইশ চব্বিশ অর্থ বছরে কিছুটা কমিয়ে আনা হয়েছে সংশোধিত বাজেটে আত্তির প্রস্তাব সে দুই লক্ষ সাতাশ হাজার পাঁচশো সাত যা জিডিপির পাঁচ দশমিক এক শতাংশ</v>
      </c>
      <c r="D68" s="2" t="str">
        <f>IFERROR(__xludf.DUMMYFUNCTION("""COMPUTED_VALUE"""),"No")</f>
        <v>No</v>
      </c>
      <c r="E68" s="2" t="str">
        <f>IFERROR(__xludf.DUMMYFUNCTION("""COMPUTED_VALUE"""),"Yes")</f>
        <v>Yes</v>
      </c>
      <c r="F68" s="2" t="str">
        <f>IFERROR(__xludf.DUMMYFUNCTION("""COMPUTED_VALUE"""),"Yes")</f>
        <v>Yes</v>
      </c>
      <c r="G68" s="2">
        <f>IFERROR(__xludf.DUMMYFUNCTION("""COMPUTED_VALUE"""),0.5)</f>
        <v>0.5</v>
      </c>
      <c r="H68" s="2">
        <f>IFERROR(__xludf.DUMMYFUNCTION("""COMPUTED_VALUE"""),0.5)</f>
        <v>0.5</v>
      </c>
      <c r="I68" s="2">
        <f>IFERROR(__xludf.DUMMYFUNCTION("""COMPUTED_VALUE"""),0.5)</f>
        <v>0.5</v>
      </c>
      <c r="J68" s="2">
        <f>IFERROR(__xludf.DUMMYFUNCTION("""COMPUTED_VALUE"""),0.0)</f>
        <v>0</v>
      </c>
      <c r="K68" s="2" t="str">
        <f>IFERROR(__xludf.DUMMYFUNCTION("""COMPUTED_VALUE"""),"4– Usable, minor flaws Minor background noise.")</f>
        <v>4– Usable, minor flaws Minor background noise.</v>
      </c>
      <c r="L68" s="2" t="str">
        <f>IFERROR(__xludf.DUMMYFUNCTION("""COMPUTED_VALUE"""),"No")</f>
        <v>No</v>
      </c>
    </row>
    <row r="69">
      <c r="A69" s="2" t="str">
        <f>IFERROR(__xludf.DUMMYFUNCTION("""COMPUTED_VALUE"""),"collect\spontaneous\Facebook\BangladeshBetarNews\66859c87-8d64-4787-9059-25778a83096a.flac")</f>
        <v>collect\spontaneous\Facebook\BangladeshBetarNews\66859c87-8d64-4787-9059-25778a83096a.flac</v>
      </c>
      <c r="B69" s="2">
        <f>IFERROR(__xludf.DUMMYFUNCTION("""COMPUTED_VALUE"""),15.0)</f>
        <v>15</v>
      </c>
      <c r="C69" s="2" t="str">
        <f>IFERROR(__xludf.DUMMYFUNCTION("""COMPUTED_VALUE"""),"গর ভবিষ্যৎ বাংলাদেশের এক রূপ কল্প ক্ষুধা দার স্ত্রুমুক্ত সমৃদ্ধ শিল্পোন্নত সন নার বাংলাদেশের স্বপ্ন করুণে বর্তমান সরকারের একটি সফল উচু বঙ্গবন্ধু শিল্পনগরবিপুল সম্ভাবনা তৈী")</f>
        <v>গর ভবিষ্যৎ বাংলাদেশের এক রূপ কল্প ক্ষুধা দার স্ত্রুমুক্ত সমৃদ্ধ শিল্পোন্নত সন নার বাংলাদেশের স্বপ্ন করুণে বর্তমান সরকারের একটি সফল উচু বঙ্গবন্ধু শিল্পনগরবিপুল সম্ভাবনা তৈী</v>
      </c>
      <c r="D69" s="2" t="str">
        <f>IFERROR(__xludf.DUMMYFUNCTION("""COMPUTED_VALUE"""),"No")</f>
        <v>No</v>
      </c>
      <c r="E69" s="2" t="str">
        <f>IFERROR(__xludf.DUMMYFUNCTION("""COMPUTED_VALUE"""),"Yes")</f>
        <v>Yes</v>
      </c>
      <c r="F69" s="2" t="str">
        <f>IFERROR(__xludf.DUMMYFUNCTION("""COMPUTED_VALUE"""),"Yes")</f>
        <v>Yes</v>
      </c>
      <c r="G69" s="2">
        <f>IFERROR(__xludf.DUMMYFUNCTION("""COMPUTED_VALUE"""),0.0)</f>
        <v>0</v>
      </c>
      <c r="H69" s="2">
        <f>IFERROR(__xludf.DUMMYFUNCTION("""COMPUTED_VALUE"""),0.5)</f>
        <v>0.5</v>
      </c>
      <c r="I69" s="2">
        <f>IFERROR(__xludf.DUMMYFUNCTION("""COMPUTED_VALUE"""),1.0)</f>
        <v>1</v>
      </c>
      <c r="J69" s="2">
        <f>IFERROR(__xludf.DUMMYFUNCTION("""COMPUTED_VALUE"""),0.0)</f>
        <v>0</v>
      </c>
      <c r="K69" s="2" t="str">
        <f>IFERROR(__xludf.DUMMYFUNCTION("""COMPUTED_VALUE"""),"5 – High-quality, Clean Bangla speech")</f>
        <v>5 – High-quality, Clean Bangla speech</v>
      </c>
      <c r="L69" s="2" t="str">
        <f>IFERROR(__xludf.DUMMYFUNCTION("""COMPUTED_VALUE"""),"No")</f>
        <v>No</v>
      </c>
    </row>
    <row r="70">
      <c r="A70" s="2" t="str">
        <f>IFERROR(__xludf.DUMMYFUNCTION("""COMPUTED_VALUE"""),"collect\spontaneous\Facebook\BangladeshBetarNews\66d92612-f446-4a55-9327-530b450580a8.flac")</f>
        <v>collect\spontaneous\Facebook\BangladeshBetarNews\66d92612-f446-4a55-9327-530b450580a8.flac</v>
      </c>
      <c r="B70" s="2">
        <f>IFERROR(__xludf.DUMMYFUNCTION("""COMPUTED_VALUE"""),15.0)</f>
        <v>15</v>
      </c>
      <c r="C70" s="2" t="str">
        <f>IFERROR(__xludf.DUMMYFUNCTION("""COMPUTED_VALUE"""),"শুরু হচ্ছে আগারনাল থেকে মতিঝিল অংশে মেট্রোরেলের পরীক্ষামূলক চলাচল এবং আইসিসি বিশ্বকাপ ক্রিকেট বাছাইয়েছে সুপারসিস পর্বে আজ হারারিতে মুখোমুখি হবে শ্রীলঙ্কা ও য়েস্ট ইন্ডিজ")</f>
        <v>শুরু হচ্ছে আগারনাল থেকে মতিঝিল অংশে মেট্রোরেলের পরীক্ষামূলক চলাচল এবং আইসিসি বিশ্বকাপ ক্রিকেট বাছাইয়েছে সুপারসিস পর্বে আজ হারারিতে মুখোমুখি হবে শ্রীলঙ্কা ও য়েস্ট ইন্ডিজ</v>
      </c>
      <c r="D70" s="2" t="str">
        <f>IFERROR(__xludf.DUMMYFUNCTION("""COMPUTED_VALUE"""),"No")</f>
        <v>No</v>
      </c>
      <c r="E70" s="2" t="str">
        <f>IFERROR(__xludf.DUMMYFUNCTION("""COMPUTED_VALUE"""),"Yes")</f>
        <v>Yes</v>
      </c>
      <c r="F70" s="2" t="str">
        <f>IFERROR(__xludf.DUMMYFUNCTION("""COMPUTED_VALUE"""),"Yes")</f>
        <v>Yes</v>
      </c>
      <c r="G70" s="2">
        <f>IFERROR(__xludf.DUMMYFUNCTION("""COMPUTED_VALUE"""),0.5)</f>
        <v>0.5</v>
      </c>
      <c r="H70" s="2">
        <f>IFERROR(__xludf.DUMMYFUNCTION("""COMPUTED_VALUE"""),0.5)</f>
        <v>0.5</v>
      </c>
      <c r="I70" s="2">
        <f>IFERROR(__xludf.DUMMYFUNCTION("""COMPUTED_VALUE"""),0.5)</f>
        <v>0.5</v>
      </c>
      <c r="J70" s="2">
        <f>IFERROR(__xludf.DUMMYFUNCTION("""COMPUTED_VALUE"""),0.0)</f>
        <v>0</v>
      </c>
      <c r="K70" s="2" t="str">
        <f>IFERROR(__xludf.DUMMYFUNCTION("""COMPUTED_VALUE"""),"5 – High-quality, Clean Bangla speech")</f>
        <v>5 – High-quality, Clean Bangla speech</v>
      </c>
      <c r="L70" s="2" t="str">
        <f>IFERROR(__xludf.DUMMYFUNCTION("""COMPUTED_VALUE"""),"No")</f>
        <v>No</v>
      </c>
    </row>
    <row r="71">
      <c r="A71" s="2" t="str">
        <f>IFERROR(__xludf.DUMMYFUNCTION("""COMPUTED_VALUE"""),"collect\spontaneous\Facebook\BangladeshBetarNews\687518c6-1725-42e0-9897-7a71dc70d802.flac")</f>
        <v>collect\spontaneous\Facebook\BangladeshBetarNews\687518c6-1725-42e0-9897-7a71dc70d802.flac</v>
      </c>
      <c r="B71" s="2">
        <f>IFERROR(__xludf.DUMMYFUNCTION("""COMPUTED_VALUE"""),15.0)</f>
        <v>15</v>
      </c>
      <c r="C71" s="2" t="str">
        <f>IFERROR(__xludf.DUMMYFUNCTION("""COMPUTED_VALUE"""),"রণক্ষেত্রে চারটি এলাকায় এগিয়ে যাচ্ছে রুশ সেনারা অভিযোগ ইউক্রেনের ঙঘন এবং লর্সি অ্যাসিস টেস্ট ক্রিকেটে পাঁচ ম্যাচ সিরিজের টিউকিউিে িতে ইংল্যান্ডকে তেতাল্লিশ রানে হারিয়েছে অস্ট্রেলিয়া")</f>
        <v>রণক্ষেত্রে চারটি এলাকায় এগিয়ে যাচ্ছে রুশ সেনারা অভিযোগ ইউক্রেনের ঙঘন এবং লর্সি অ্যাসিস টেস্ট ক্রিকেটে পাঁচ ম্যাচ সিরিজের টিউকিউিে িতে ইংল্যান্ডকে তেতাল্লিশ রানে হারিয়েছে অস্ট্রেলিয়া</v>
      </c>
      <c r="D71" s="2" t="str">
        <f>IFERROR(__xludf.DUMMYFUNCTION("""COMPUTED_VALUE"""),"No")</f>
        <v>No</v>
      </c>
      <c r="E71" s="2" t="str">
        <f>IFERROR(__xludf.DUMMYFUNCTION("""COMPUTED_VALUE"""),"Yes")</f>
        <v>Yes</v>
      </c>
      <c r="F71" s="2" t="str">
        <f>IFERROR(__xludf.DUMMYFUNCTION("""COMPUTED_VALUE"""),"Yes")</f>
        <v>Yes</v>
      </c>
      <c r="G71" s="2">
        <f>IFERROR(__xludf.DUMMYFUNCTION("""COMPUTED_VALUE"""),0.0)</f>
        <v>0</v>
      </c>
      <c r="H71" s="2">
        <f>IFERROR(__xludf.DUMMYFUNCTION("""COMPUTED_VALUE"""),0.0)</f>
        <v>0</v>
      </c>
      <c r="I71" s="2">
        <f>IFERROR(__xludf.DUMMYFUNCTION("""COMPUTED_VALUE"""),0.0)</f>
        <v>0</v>
      </c>
      <c r="J71" s="2">
        <f>IFERROR(__xludf.DUMMYFUNCTION("""COMPUTED_VALUE"""),0.0)</f>
        <v>0</v>
      </c>
      <c r="K71" s="2" t="str">
        <f>IFERROR(__xludf.DUMMYFUNCTION("""COMPUTED_VALUE"""),"2 - Poor quality Noisy, unclear,")</f>
        <v>2 - Poor quality Noisy, unclear,</v>
      </c>
      <c r="L71" s="2" t="str">
        <f>IFERROR(__xludf.DUMMYFUNCTION("""COMPUTED_VALUE"""),"No")</f>
        <v>No</v>
      </c>
    </row>
    <row r="72">
      <c r="A72" s="2" t="str">
        <f>IFERROR(__xludf.DUMMYFUNCTION("""COMPUTED_VALUE"""),"collect\spontaneous/YouTube/Bangladesh Open University (BOU)/C8qJmp3630k/4098249f-a275-485d-8e0c-6fcf2c53f5ae.flac")</f>
        <v>collect\spontaneous/YouTube/Bangladesh Open University (BOU)/C8qJmp3630k/4098249f-a275-485d-8e0c-6fcf2c53f5ae.flac</v>
      </c>
      <c r="B72" s="2">
        <f>IFERROR(__xludf.DUMMYFUNCTION("""COMPUTED_VALUE"""),30.0)</f>
        <v>30</v>
      </c>
      <c r="C72" s="2" t="str">
        <f>IFERROR(__xludf.DUMMYFUNCTION("""COMPUTED_VALUE"""),"আমার মেধা আছে সেটা দিয়ে আমি সর্বাত্মকভাবে চেষ্টা করি সেই কাজটা সুচারুভাবে সম্পূর্ণ করার জন্য এটাই হচ্ছে আমার অনাস্টি এটাই হচ্ছে এবং কাজের প্রতি ভালোবাসা এটাই হচ্ছে আমার পুঁজি আমার মেধা কতটুকু আমি মনে করি খুব একটা সেব আমি মেধাবী না আমি মিডিওকার ট্রাইপের স্"&amp;"টুডেন্ট ছিলাম")</f>
        <v>আমার মেধা আছে সেটা দিয়ে আমি সর্বাত্মকভাবে চেষ্টা করি সেই কাজটা সুচারুভাবে সম্পূর্ণ করার জন্য এটাই হচ্ছে আমার অনাস্টি এটাই হচ্ছে এবং কাজের প্রতি ভালোবাসা এটাই হচ্ছে আমার পুঁজি আমার মেধা কতটুকু আমি মনে করি খুব একটা সেব আমি মেধাবী না আমি মিডিওকার ট্রাইপের স্টুডেন্ট ছিলাম</v>
      </c>
      <c r="D72" s="2" t="str">
        <f>IFERROR(__xludf.DUMMYFUNCTION("""COMPUTED_VALUE"""),"Yes")</f>
        <v>Yes</v>
      </c>
      <c r="E72" s="2" t="str">
        <f>IFERROR(__xludf.DUMMYFUNCTION("""COMPUTED_VALUE"""),"Yes")</f>
        <v>Yes</v>
      </c>
      <c r="F72" s="2" t="str">
        <f>IFERROR(__xludf.DUMMYFUNCTION("""COMPUTED_VALUE"""),"Yes")</f>
        <v>Yes</v>
      </c>
      <c r="G72" s="2">
        <f>IFERROR(__xludf.DUMMYFUNCTION("""COMPUTED_VALUE"""),0.5)</f>
        <v>0.5</v>
      </c>
      <c r="H72" s="2">
        <f>IFERROR(__xludf.DUMMYFUNCTION("""COMPUTED_VALUE"""),1.0)</f>
        <v>1</v>
      </c>
      <c r="I72" s="2">
        <f>IFERROR(__xludf.DUMMYFUNCTION("""COMPUTED_VALUE"""),1.0)</f>
        <v>1</v>
      </c>
      <c r="J72" s="2">
        <f>IFERROR(__xludf.DUMMYFUNCTION("""COMPUTED_VALUE"""),0.0)</f>
        <v>0</v>
      </c>
      <c r="K72" s="2" t="str">
        <f>IFERROR(__xludf.DUMMYFUNCTION("""COMPUTED_VALUE"""),"5 – High-quality, Clean Bangla speech")</f>
        <v>5 – High-quality, Clean Bangla speech</v>
      </c>
      <c r="L72" s="2" t="str">
        <f>IFERROR(__xludf.DUMMYFUNCTION("""COMPUTED_VALUE"""),"No")</f>
        <v>No</v>
      </c>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IFERROR(__xludf.DUMMYFUNCTION("IMPORTRANGE(""https://docs.google.com/spreadsheets/d/1sNsvTEjhFAxLcwsjZ1J7CaU0DXftbwyAHeDmpZqDOAI/edit?gid=1682353242#gid=1682353242"", ""collect/spontaneous/YouTube/Bangladesh Open University (BOU)!A:L"")"),"Filename")</f>
        <v>Filename</v>
      </c>
      <c r="B1" s="2"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t="str">
        <f>IFERROR(__xludf.DUMMYFUNCTION("""COMPUTED_VALUE"""),"collect/spontaneous/YouTube/Bangladesh Open University (BOU)/9X3VAT-z3XQ/00c5523e-f7e9-4669-a0d0-c1da88c34b49.flac")</f>
        <v>collect/spontaneous/YouTube/Bangladesh Open University (BOU)/9X3VAT-z3XQ/00c5523e-f7e9-4669-a0d0-c1da88c34b49.flac</v>
      </c>
      <c r="B2" s="2">
        <f>IFERROR(__xludf.DUMMYFUNCTION("""COMPUTED_VALUE"""),30.0)</f>
        <v>30</v>
      </c>
      <c r="C2" s="2" t="str">
        <f>IFERROR(__xludf.DUMMYFUNCTION("""COMPUTED_VALUE"""),"করতে হবে ঠাণ্ডা আবহাওয়া বা ঠাণ্ডা খাবার আমাদের অর্জন করতে হবে এবং সেই সাথে সাথে আমাদের পর্যাপ্ত পরিমাণে বিশ্রাম নিতে হবে এবং পুষ্টিকর খাবার খেতে হবে এবং আমাদের বিশেষজ্ঞ ফিজিও থারাফি চিকিৎসকগণ যে তেরোপিটিক এক্সারসাইজ প্রদান করে থাকবেন সেটা নিয়মমত বাসায় প্র"&amp;"্যাকটিস করতে হবে এবং যার খাবারের সমস্যা থাকে সেক্ষেত্রে তারা খাবার খাওয়ার পরে যদি খাবার মুখের কোনো লেগে থাকে সেক্ষেত্রেটা পরিষ্কার করতে হবে এবং সেক্ষেত্রে এক্সারসাইজ হিসেবে আপনারচি")</f>
        <v>করতে হবে ঠাণ্ডা আবহাওয়া বা ঠাণ্ডা খাবার আমাদের অর্জন করতে হবে এবং সেই সাথে সাথে আমাদের পর্যাপ্ত পরিমাণে বিশ্রাম নিতে হবে এবং পুষ্টিকর খাবার খেতে হবে এবং আমাদের বিশেষজ্ঞ ফিজিও থারাফি চিকিৎসকগণ যে তেরোপিটিক এক্সারসাইজ প্রদান করে থাকবেন সেটা নিয়মমত বাসায় প্র্যাকটিস করতে হবে এবং যার খাবারের সমস্যা থাকে সেক্ষেত্রে তারা খাবার খাওয়ার পরে যদি খাবার মুখের কোনো লেগে থাকে সেক্ষেত্রেটা পরিষ্কার করতে হবে এবং সেক্ষেত্রে এক্সারসাইজ হিসেবে আপনারচি</v>
      </c>
      <c r="D2" s="2" t="str">
        <f>IFERROR(__xludf.DUMMYFUNCTION("""COMPUTED_VALUE"""),"No")</f>
        <v>No</v>
      </c>
      <c r="E2" s="2" t="str">
        <f>IFERROR(__xludf.DUMMYFUNCTION("""COMPUTED_VALUE"""),"Yes")</f>
        <v>Yes</v>
      </c>
      <c r="F2" s="2" t="str">
        <f>IFERROR(__xludf.DUMMYFUNCTION("""COMPUTED_VALUE"""),"Yes")</f>
        <v>Yes</v>
      </c>
      <c r="G2" s="2">
        <f>IFERROR(__xludf.DUMMYFUNCTION("""COMPUTED_VALUE"""),0.5)</f>
        <v>0.5</v>
      </c>
      <c r="H2" s="2">
        <f>IFERROR(__xludf.DUMMYFUNCTION("""COMPUTED_VALUE"""),0.5)</f>
        <v>0.5</v>
      </c>
      <c r="I2" s="2">
        <f>IFERROR(__xludf.DUMMYFUNCTION("""COMPUTED_VALUE"""),1.0)</f>
        <v>1</v>
      </c>
      <c r="J2" s="2">
        <f>IFERROR(__xludf.DUMMYFUNCTION("""COMPUTED_VALUE"""),0.5)</f>
        <v>0.5</v>
      </c>
      <c r="K2" s="2" t="str">
        <f>IFERROR(__xludf.DUMMYFUNCTION("""COMPUTED_VALUE"""),"5 – High-quality, Clean Bangla speech")</f>
        <v>5 – High-quality, Clean Bangla speech</v>
      </c>
      <c r="L2" s="2" t="str">
        <f>IFERROR(__xludf.DUMMYFUNCTION("""COMPUTED_VALUE"""),"No")</f>
        <v>No</v>
      </c>
    </row>
    <row r="3">
      <c r="A3" s="2" t="str">
        <f>IFERROR(__xludf.DUMMYFUNCTION("""COMPUTED_VALUE"""),"collect/spontaneous/YouTube/Bangladesh Open University (BOU)/9X3VAT-z3XQ/09d79d76-2305-4d20-989d-f0e2b5efaa33.flac")</f>
        <v>collect/spontaneous/YouTube/Bangladesh Open University (BOU)/9X3VAT-z3XQ/09d79d76-2305-4d20-989d-f0e2b5efaa33.flac</v>
      </c>
      <c r="B3" s="2">
        <f>IFERROR(__xludf.DUMMYFUNCTION("""COMPUTED_VALUE"""),30.0)</f>
        <v>30</v>
      </c>
      <c r="C3" s="2" t="str">
        <f>IFERROR(__xludf.DUMMYFUNCTION("""COMPUTED_VALUE"""),"তত সুস্থ হয়ে যায় আবার অনেকের ক্ষেত্রে অল্প অল্প অক্ষমতা থাকে আমরা বিভিন্ন গবেষণা বা স্টাডি বা রিসার্চে দেখেছি যে কারো কারো ক্ষেত্রে এটি দুই বছর পর্যন্ত লেগে যায় এরকম একটি পরিসংখ্যান বিভিন্ন সময় আমরা দেখেছি গপেষণা থেকে অনেক দর্শকবৃন্দ আছেন যারা আতঙ্কে থাকে"&amp;" যে আসলে এই রোগটি ভালো হবে কিনা কিন্তু স্যার চমৎকারভাবে বুঝিয়ে বলেছেন যে দুই থেকে তিন সপ্তাহ যদি চিকিৎসা পদ্ধতি নেয়া হয় তাহলে কিন্তু তারা সম্পূর্ণভাবে সুস্থ হয়ে যাবেন এখন আমার স্যারের কাছে প্রশ্ন স্যার এর চিকিৎসা পদ্ধতি সম্পর্কে যদি")</f>
        <v>তত সুস্থ হয়ে যায় আবার অনেকের ক্ষেত্রে অল্প অল্প অক্ষমতা থাকে আমরা বিভিন্ন গবেষণা বা স্টাডি বা রিসার্চে দেখেছি যে কারো কারো ক্ষেত্রে এটি দুই বছর পর্যন্ত লেগে যায় এরকম একটি পরিসংখ্যান বিভিন্ন সময় আমরা দেখেছি গপেষণা থেকে অনেক দর্শকবৃন্দ আছেন যারা আতঙ্কে থাকে যে আসলে এই রোগটি ভালো হবে কিনা কিন্তু স্যার চমৎকারভাবে বুঝিয়ে বলেছেন যে দুই থেকে তিন সপ্তাহ যদি চিকিৎসা পদ্ধতি নেয়া হয় তাহলে কিন্তু তারা সম্পূর্ণভাবে সুস্থ হয়ে যাবেন এখন আমার স্যারের কাছে প্রশ্ন স্যার এর চিকিৎসা পদ্ধতি সম্পর্কে যদি</v>
      </c>
      <c r="D3" s="2" t="str">
        <f>IFERROR(__xludf.DUMMYFUNCTION("""COMPUTED_VALUE"""),"Yes")</f>
        <v>Yes</v>
      </c>
      <c r="E3" s="2" t="str">
        <f>IFERROR(__xludf.DUMMYFUNCTION("""COMPUTED_VALUE"""),"No")</f>
        <v>No</v>
      </c>
      <c r="F3" s="2" t="str">
        <f>IFERROR(__xludf.DUMMYFUNCTION("""COMPUTED_VALUE"""),"Yes")</f>
        <v>Yes</v>
      </c>
      <c r="G3" s="2">
        <f>IFERROR(__xludf.DUMMYFUNCTION("""COMPUTED_VALUE"""),0.5)</f>
        <v>0.5</v>
      </c>
      <c r="H3" s="2">
        <f>IFERROR(__xludf.DUMMYFUNCTION("""COMPUTED_VALUE"""),1.0)</f>
        <v>1</v>
      </c>
      <c r="I3" s="2">
        <f>IFERROR(__xludf.DUMMYFUNCTION("""COMPUTED_VALUE"""),1.0)</f>
        <v>1</v>
      </c>
      <c r="J3" s="2">
        <f>IFERROR(__xludf.DUMMYFUNCTION("""COMPUTED_VALUE"""),0.0)</f>
        <v>0</v>
      </c>
      <c r="K3" s="2" t="str">
        <f>IFERROR(__xludf.DUMMYFUNCTION("""COMPUTED_VALUE"""),"5 – High-quality, Clean Bangla speech")</f>
        <v>5 – High-quality, Clean Bangla speech</v>
      </c>
      <c r="L3" s="2" t="str">
        <f>IFERROR(__xludf.DUMMYFUNCTION("""COMPUTED_VALUE"""),"No")</f>
        <v>No</v>
      </c>
    </row>
    <row r="4">
      <c r="A4" s="2" t="str">
        <f>IFERROR(__xludf.DUMMYFUNCTION("""COMPUTED_VALUE"""),"collect/spontaneous/YouTube/Bangladesh Open University (BOU)/9X3VAT-z3XQ/10007543-4712-4938-a2e2-091ea31829d4.flac")</f>
        <v>collect/spontaneous/YouTube/Bangladesh Open University (BOU)/9X3VAT-z3XQ/10007543-4712-4938-a2e2-091ea31829d4.flac</v>
      </c>
      <c r="B4" s="2">
        <f>IFERROR(__xludf.DUMMYFUNCTION("""COMPUTED_VALUE"""),30.0)</f>
        <v>30</v>
      </c>
      <c r="C4" s="2" t="str">
        <f>IFERROR(__xludf.DUMMYFUNCTION("""COMPUTED_VALUE"""),"কুম থেে জে দে ে আনা বেখে গিয়েছে এবং আপনি কথা বলতে গেলে ঠোঁটের একখানা নাড়াতে পারছেন না বা কথা বলতে গেছেন ঠোঁটটা খুব বিশ্রী রকমভাবে বেঁকে গিয়েছে অনেকে আপনাকে বলবে নিশ্চয়ই আপনার মাইলস্টক হয়েছে কিন্তু না মাইল স্টোক ছাড়াও সাধারণত যারা পক্ষাঘাতগ্রস্ত হয় বা একপা"&amp;"শ প্যারালাইসিস হয়ে যায় তাদেরকে আমরা স্টোক বলে থাকি এবং এর সাথেও দেখা যায় অনেক সময় মুখ বেগে যাওয়ার সম্ভাবনা থাকতে পারে কিন্তু এছাড়াও যাদের স্নায়ুগত সমস্যা কার")</f>
        <v>কুম থেে জে দে ে আনা বেখে গিয়েছে এবং আপনি কথা বলতে গেলে ঠোঁটের একখানা নাড়াতে পারছেন না বা কথা বলতে গেছেন ঠোঁটটা খুব বিশ্রী রকমভাবে বেঁকে গিয়েছে অনেকে আপনাকে বলবে নিশ্চয়ই আপনার মাইলস্টক হয়েছে কিন্তু না মাইল স্টোক ছাড়াও সাধারণত যারা পক্ষাঘাতগ্রস্ত হয় বা একপাশ প্যারালাইসিস হয়ে যায় তাদেরকে আমরা স্টোক বলে থাকি এবং এর সাথেও দেখা যায় অনেক সময় মুখ বেগে যাওয়ার সম্ভাবনা থাকতে পারে কিন্তু এছাড়াও যাদের স্নায়ুগত সমস্যা কার</v>
      </c>
      <c r="D4" s="2" t="str">
        <f>IFERROR(__xludf.DUMMYFUNCTION("""COMPUTED_VALUE"""),"No")</f>
        <v>No</v>
      </c>
      <c r="E4" s="2" t="str">
        <f>IFERROR(__xludf.DUMMYFUNCTION("""COMPUTED_VALUE"""),"Yes")</f>
        <v>Yes</v>
      </c>
      <c r="F4" s="2" t="str">
        <f>IFERROR(__xludf.DUMMYFUNCTION("""COMPUTED_VALUE"""),"Yes")</f>
        <v>Yes</v>
      </c>
      <c r="G4" s="2">
        <f>IFERROR(__xludf.DUMMYFUNCTION("""COMPUTED_VALUE"""),0.0)</f>
        <v>0</v>
      </c>
      <c r="H4" s="2">
        <f>IFERROR(__xludf.DUMMYFUNCTION("""COMPUTED_VALUE"""),0.0)</f>
        <v>0</v>
      </c>
      <c r="I4" s="2">
        <f>IFERROR(__xludf.DUMMYFUNCTION("""COMPUTED_VALUE"""),0.0)</f>
        <v>0</v>
      </c>
      <c r="J4" s="2">
        <f>IFERROR(__xludf.DUMMYFUNCTION("""COMPUTED_VALUE"""),0.0)</f>
        <v>0</v>
      </c>
      <c r="K4" s="2" t="str">
        <f>IFERROR(__xludf.DUMMYFUNCTION("""COMPUTED_VALUE"""),"4– Usable, minor flaws Minor background noise.")</f>
        <v>4– Usable, minor flaws Minor background noise.</v>
      </c>
      <c r="L4" s="2" t="str">
        <f>IFERROR(__xludf.DUMMYFUNCTION("""COMPUTED_VALUE"""),"No")</f>
        <v>No</v>
      </c>
    </row>
    <row r="5">
      <c r="A5" s="2" t="str">
        <f>IFERROR(__xludf.DUMMYFUNCTION("""COMPUTED_VALUE"""),"collect/spontaneous/YouTube/Bangladesh Open University (BOU)/9X3VAT-z3XQ/1603d676-e8f0-4a63-a0cb-2fcd59556ccc.flac")</f>
        <v>collect/spontaneous/YouTube/Bangladesh Open University (BOU)/9X3VAT-z3XQ/1603d676-e8f0-4a63-a0cb-2fcd59556ccc.flac</v>
      </c>
      <c r="B5" s="2">
        <f>IFERROR(__xludf.DUMMYFUNCTION("""COMPUTED_VALUE"""),30.0)</f>
        <v>30</v>
      </c>
      <c r="C5" s="2" t="str">
        <f>IFERROR(__xludf.DUMMYFUNCTION("""COMPUTED_VALUE"""),"এটির জন্য সুতরাং একটু ফেসিয়াল পলছি হয়তোবা স্বাভাবিক বা অথা সামান্য একটি কন্ডিশন হলেও আমাদের বড় ধনের কিন্তু একটা কমিউনিকেশন অথবা যোগাযোগের যে মাধ্যম আমাদের ফেস এবং মুভ এর কিন্তু একটি ইম্পিয়ানমেন্ট অথবা অক্ষমতা তৈরি করে ধন্যবাদ স্যার এখন আপনি আমাদেরকে জানাব"&amp;"েন এই ধরনের রোগীরা সাধারণত কী কী রোগের ঝুঁকির ভেতরে থাকে ধন্যবাদ আপনাকে এটি একটি চমৎকার প্রশ্ন করেছেন ঝুঁকির একটি অংশ হচ্ছে যেমন আমাদের আমরা যদি বয়সের কথা বলি কারা বেশি ফিসিয়াল পলসিতে")</f>
        <v>এটির জন্য সুতরাং একটু ফেসিয়াল পলছি হয়তোবা স্বাভাবিক বা অথা সামান্য একটি কন্ডিশন হলেও আমাদের বড় ধনের কিন্তু একটা কমিউনিকেশন অথবা যোগাযোগের যে মাধ্যম আমাদের ফেস এবং মুভ এর কিন্তু একটি ইম্পিয়ানমেন্ট অথবা অক্ষমতা তৈরি করে ধন্যবাদ স্যার এখন আপনি আমাদেরকে জানাবেন এই ধরনের রোগীরা সাধারণত কী কী রোগের ঝুঁকির ভেতরে থাকে ধন্যবাদ আপনাকে এটি একটি চমৎকার প্রশ্ন করেছেন ঝুঁকির একটি অংশ হচ্ছে যেমন আমাদের আমরা যদি বয়সের কথা বলি কারা বেশি ফিসিয়াল পলসিতে</v>
      </c>
      <c r="D5" s="2" t="str">
        <f>IFERROR(__xludf.DUMMYFUNCTION("""COMPUTED_VALUE"""),"Yes")</f>
        <v>Yes</v>
      </c>
      <c r="E5" s="2" t="str">
        <f>IFERROR(__xludf.DUMMYFUNCTION("""COMPUTED_VALUE"""),"No")</f>
        <v>No</v>
      </c>
      <c r="F5" s="2" t="str">
        <f>IFERROR(__xludf.DUMMYFUNCTION("""COMPUTED_VALUE"""),"Yes")</f>
        <v>Yes</v>
      </c>
      <c r="G5" s="2">
        <f>IFERROR(__xludf.DUMMYFUNCTION("""COMPUTED_VALUE"""),0.5)</f>
        <v>0.5</v>
      </c>
      <c r="H5" s="2">
        <f>IFERROR(__xludf.DUMMYFUNCTION("""COMPUTED_VALUE"""),0.5)</f>
        <v>0.5</v>
      </c>
      <c r="I5" s="2">
        <f>IFERROR(__xludf.DUMMYFUNCTION("""COMPUTED_VALUE"""),0.5)</f>
        <v>0.5</v>
      </c>
      <c r="J5" s="2">
        <f>IFERROR(__xludf.DUMMYFUNCTION("""COMPUTED_VALUE"""),0.5)</f>
        <v>0.5</v>
      </c>
      <c r="K5" s="2" t="str">
        <f>IFERROR(__xludf.DUMMYFUNCTION("""COMPUTED_VALUE"""),"5 – High-quality, Clean Bangla speech")</f>
        <v>5 – High-quality, Clean Bangla speech</v>
      </c>
      <c r="L5" s="2" t="str">
        <f>IFERROR(__xludf.DUMMYFUNCTION("""COMPUTED_VALUE"""),"No")</f>
        <v>No</v>
      </c>
    </row>
    <row r="6">
      <c r="A6" s="2" t="str">
        <f>IFERROR(__xludf.DUMMYFUNCTION("""COMPUTED_VALUE"""),"collect/spontaneous/YouTube/Bangladesh Open University (BOU)/9X3VAT-z3XQ/198cf849-a5f9-4720-b9a2-782c04f169ba.flac")</f>
        <v>collect/spontaneous/YouTube/Bangladesh Open University (BOU)/9X3VAT-z3XQ/198cf849-a5f9-4720-b9a2-782c04f169ba.flac</v>
      </c>
      <c r="B6" s="2">
        <f>IFERROR(__xludf.DUMMYFUNCTION("""COMPUTED_VALUE"""),30.0)</f>
        <v>30</v>
      </c>
      <c r="C6" s="2" t="str">
        <f>IFERROR(__xludf.DUMMYFUNCTION("""COMPUTED_VALUE"""),"ভালো দিক হচ্ছে তার রিকোয়াররিয়ারটা খুব ভালো মান সুস্থ হওয়ার হারটা খুব বেশি ভালো তো আমরা বিভিন্ন গবেষণা দেখেছি যে এক থেকে তিন সপ্তাহের মধ্যেই পঞ্চাশ পার্সেন্ট রোগী যদি সে চিকিৎসা শুরু করে ডায়াগ্নেসিস হওয়ার সাথে সাথে সে কিন্তু সুস্থ হয়ে যায় এবং দুই থেকে তিন "&amp;"সপ্তাহ পরে যদি সে চিকিৎসাটা শুরু করে তখন সেক্ষেত্রে তার চিকিৎসা বা তার রিকোভারটা একটু ঢিলে হয় কিন্তু সে যদি তিন সপ্তাহের মধ্যেই সে চিকিৎসা ডোজ কমপ্লিট করে মানে চেয়ে ওষুধ খায় এবং ফিজিওথেরাপি নেয় সেক্ষেত্রে কিন্তু পেশেন্ট পঁচাশি পার্সেন্ট পর্যন্ত")</f>
        <v>ভালো দিক হচ্ছে তার রিকোয়াররিয়ারটা খুব ভালো মান সুস্থ হওয়ার হারটা খুব বেশি ভালো তো আমরা বিভিন্ন গবেষণা দেখেছি যে এক থেকে তিন সপ্তাহের মধ্যেই পঞ্চাশ পার্সেন্ট রোগী যদি সে চিকিৎসা শুরু করে ডায়াগ্নেসিস হওয়ার সাথে সাথে সে কিন্তু সুস্থ হয়ে যায় এবং দুই থেকে তিন সপ্তাহ পরে যদি সে চিকিৎসাটা শুরু করে তখন সেক্ষেত্রে তার চিকিৎসা বা তার রিকোভারটা একটু ঢিলে হয় কিন্তু সে যদি তিন সপ্তাহের মধ্যেই সে চিকিৎসা ডোজ কমপ্লিট করে মানে চেয়ে ওষুধ খায় এবং ফিজিওথেরাপি নেয় সেক্ষেত্রে কিন্তু পেশেন্ট পঁচাশি পার্সেন্ট পর্যন্ত</v>
      </c>
      <c r="D6" s="2" t="str">
        <f>IFERROR(__xludf.DUMMYFUNCTION("""COMPUTED_VALUE"""),"No")</f>
        <v>No</v>
      </c>
      <c r="E6" s="2" t="str">
        <f>IFERROR(__xludf.DUMMYFUNCTION("""COMPUTED_VALUE"""),"Yes")</f>
        <v>Yes</v>
      </c>
      <c r="F6" s="2" t="str">
        <f>IFERROR(__xludf.DUMMYFUNCTION("""COMPUTED_VALUE"""),"Yes")</f>
        <v>Yes</v>
      </c>
      <c r="G6" s="2">
        <f>IFERROR(__xludf.DUMMYFUNCTION("""COMPUTED_VALUE"""),0.5)</f>
        <v>0.5</v>
      </c>
      <c r="H6" s="2">
        <f>IFERROR(__xludf.DUMMYFUNCTION("""COMPUTED_VALUE"""),0.5)</f>
        <v>0.5</v>
      </c>
      <c r="I6" s="2">
        <f>IFERROR(__xludf.DUMMYFUNCTION("""COMPUTED_VALUE"""),0.5)</f>
        <v>0.5</v>
      </c>
      <c r="J6" s="2">
        <f>IFERROR(__xludf.DUMMYFUNCTION("""COMPUTED_VALUE"""),0.5)</f>
        <v>0.5</v>
      </c>
      <c r="K6" s="2" t="str">
        <f>IFERROR(__xludf.DUMMYFUNCTION("""COMPUTED_VALUE"""),"5 – High-quality, Clean Bangla speech")</f>
        <v>5 – High-quality, Clean Bangla speech</v>
      </c>
      <c r="L6" s="2" t="str">
        <f>IFERROR(__xludf.DUMMYFUNCTION("""COMPUTED_VALUE"""),"No")</f>
        <v>No</v>
      </c>
    </row>
    <row r="7">
      <c r="A7" s="2" t="str">
        <f>IFERROR(__xludf.DUMMYFUNCTION("""COMPUTED_VALUE"""),"collect/spontaneous/YouTube/Bangladesh Open University (BOU)/9X3VAT-z3XQ/2d3c0a55-e9d6-4db8-bcb9-8dc70954eebc.flac")</f>
        <v>collect/spontaneous/YouTube/Bangladesh Open University (BOU)/9X3VAT-z3XQ/2d3c0a55-e9d6-4db8-bcb9-8dc70954eebc.flac</v>
      </c>
      <c r="B7" s="2">
        <f>IFERROR(__xludf.DUMMYFUNCTION("""COMPUTED_VALUE"""),30.0)</f>
        <v>30</v>
      </c>
      <c r="C7" s="2" t="str">
        <f>IFERROR(__xludf.DUMMYFUNCTION("""COMPUTED_VALUE"""),"এবং আমাদের সাথে আলোচক হিসেবে আছেন ডাক্তার হাবিবুর রহমান প্রভাষক স্কুল অব সায়েন্স অ্যান্ড টেকনোলোজি বাংলাদেশ উন্মুক্ত বিশ্ববিদ্যালয় আমন্ত্রণ জানাচ্ছি আজকের ভিডিও অনুষ্ঠান দেখার জন্য সুপ্রিয় দর্শকবৃন্দ প্রথমে আমরা জেনে নেই আজকে আপনাদের কে কি বিষয়ে আমরা তথ্য"&amp;" দেব ফেসাল পালসি কি এর কারণ সমূহ এর প্রতিরোধের উপায় চিকিৎসা পদ্ধতি এবং কী কী কারণে হতে পারে সে সম্পর্কে আমরা আপনাদের বিস্তারিত জানাব তার প্রথমে আমরা একটু বলে নিই যে হঠাৎ একদিন আপনি ঘুম থেকে ভেঙে")</f>
        <v>এবং আমাদের সাথে আলোচক হিসেবে আছেন ডাক্তার হাবিবুর রহমান প্রভাষক স্কুল অব সায়েন্স অ্যান্ড টেকনোলোজি বাংলাদেশ উন্মুক্ত বিশ্ববিদ্যালয় আমন্ত্রণ জানাচ্ছি আজকের ভিডিও অনুষ্ঠান দেখার জন্য সুপ্রিয় দর্শকবৃন্দ প্রথমে আমরা জেনে নেই আজকে আপনাদের কে কি বিষয়ে আমরা তথ্য দেব ফেসাল পালসি কি এর কারণ সমূহ এর প্রতিরোধের উপায় চিকিৎসা পদ্ধতি এবং কী কী কারণে হতে পারে সে সম্পর্কে আমরা আপনাদের বিস্তারিত জানাব তার প্রথমে আমরা একটু বলে নিই যে হঠাৎ একদিন আপনি ঘুম থেকে ভেঙে</v>
      </c>
      <c r="D7" s="2" t="str">
        <f>IFERROR(__xludf.DUMMYFUNCTION("""COMPUTED_VALUE"""),"Yes")</f>
        <v>Yes</v>
      </c>
      <c r="E7" s="2" t="str">
        <f>IFERROR(__xludf.DUMMYFUNCTION("""COMPUTED_VALUE"""),"No")</f>
        <v>No</v>
      </c>
      <c r="F7" s="2" t="str">
        <f>IFERROR(__xludf.DUMMYFUNCTION("""COMPUTED_VALUE"""),"No")</f>
        <v>No</v>
      </c>
      <c r="G7" s="2">
        <f>IFERROR(__xludf.DUMMYFUNCTION("""COMPUTED_VALUE"""),1.0)</f>
        <v>1</v>
      </c>
      <c r="H7" s="2">
        <f>IFERROR(__xludf.DUMMYFUNCTION("""COMPUTED_VALUE"""),1.0)</f>
        <v>1</v>
      </c>
      <c r="I7" s="2">
        <f>IFERROR(__xludf.DUMMYFUNCTION("""COMPUTED_VALUE"""),1.0)</f>
        <v>1</v>
      </c>
      <c r="J7" s="2">
        <f>IFERROR(__xludf.DUMMYFUNCTION("""COMPUTED_VALUE"""),0.5)</f>
        <v>0.5</v>
      </c>
      <c r="K7" s="2" t="str">
        <f>IFERROR(__xludf.DUMMYFUNCTION("""COMPUTED_VALUE"""),"5 – High-quality, Clean Bangla speech")</f>
        <v>5 – High-quality, Clean Bangla speech</v>
      </c>
      <c r="L7" s="2" t="str">
        <f>IFERROR(__xludf.DUMMYFUNCTION("""COMPUTED_VALUE"""),"No")</f>
        <v>No</v>
      </c>
    </row>
    <row r="8">
      <c r="A8" s="2" t="str">
        <f>IFERROR(__xludf.DUMMYFUNCTION("""COMPUTED_VALUE"""),"collect/spontaneous/YouTube/Bangladesh Open University (BOU)/9X3VAT-z3XQ/321a6f7a-9c20-403c-a7e6-45230c3e60c4.flac")</f>
        <v>collect/spontaneous/YouTube/Bangladesh Open University (BOU)/9X3VAT-z3XQ/321a6f7a-9c20-403c-a7e6-45230c3e60c4.flac</v>
      </c>
      <c r="B8" s="2">
        <f>IFERROR(__xludf.DUMMYFUNCTION("""COMPUTED_VALUE"""),30.0)</f>
        <v>30</v>
      </c>
      <c r="C8" s="2" t="str">
        <f>IFERROR(__xludf.DUMMYFUNCTION("""COMPUTED_VALUE"""),"সম্পর্ক যদি এটা আমাদের জানাতেন সায়েন্টিস্টরা অনেক কাজ করেছে এই কারণকে আইডেন্টিফাই করার জন্য কিন্তু প্রথমত তারা বলেছে যে এটি সুনির্দিষ্ট কোন কারণ নাই তারপরও সে ধারণা করেছে বা সায়েন্টিস্টরা দেখেছে যাদের ফিসিয়াল পলসি হয়েছিল তাদের কাছ থেকে তথ্য নিয়ে যে ভাইরার"&amp;" ইনফেকশনের ফলে হয় যেটিকে হার্পেজ সিমপ্লেক্স ভাইরাস বলা হয় সাইটোমেগালো ভাইরাস বলা হয় এ ধরনের ভাইরাস যখন অফিসিয়াল নাপকে এফেট করে তখন ফিচাল পলসি হতে পারে তাছাড়া আপনারা দেখবেন যে যখন প্রচুর")</f>
        <v>সম্পর্ক যদি এটা আমাদের জানাতেন সায়েন্টিস্টরা অনেক কাজ করেছে এই কারণকে আইডেন্টিফাই করার জন্য কিন্তু প্রথমত তারা বলেছে যে এটি সুনির্দিষ্ট কোন কারণ নাই তারপরও সে ধারণা করেছে বা সায়েন্টিস্টরা দেখেছে যাদের ফিসিয়াল পলসি হয়েছিল তাদের কাছ থেকে তথ্য নিয়ে যে ভাইরার ইনফেকশনের ফলে হয় যেটিকে হার্পেজ সিমপ্লেক্স ভাইরাস বলা হয় সাইটোমেগালো ভাইরাস বলা হয় এ ধরনের ভাইরাস যখন অফিসিয়াল নাপকে এফেট করে তখন ফিচাল পলসি হতে পারে তাছাড়া আপনারা দেখবেন যে যখন প্রচুর</v>
      </c>
      <c r="D8" s="2" t="str">
        <f>IFERROR(__xludf.DUMMYFUNCTION("""COMPUTED_VALUE"""),"No")</f>
        <v>No</v>
      </c>
      <c r="E8" s="2" t="str">
        <f>IFERROR(__xludf.DUMMYFUNCTION("""COMPUTED_VALUE"""),"No")</f>
        <v>No</v>
      </c>
      <c r="F8" s="2" t="str">
        <f>IFERROR(__xludf.DUMMYFUNCTION("""COMPUTED_VALUE"""),"Yes")</f>
        <v>Yes</v>
      </c>
      <c r="G8" s="2">
        <f>IFERROR(__xludf.DUMMYFUNCTION("""COMPUTED_VALUE"""),0.0)</f>
        <v>0</v>
      </c>
      <c r="H8" s="2">
        <f>IFERROR(__xludf.DUMMYFUNCTION("""COMPUTED_VALUE"""),0.0)</f>
        <v>0</v>
      </c>
      <c r="I8" s="2">
        <f>IFERROR(__xludf.DUMMYFUNCTION("""COMPUTED_VALUE"""),0.0)</f>
        <v>0</v>
      </c>
      <c r="J8" s="2">
        <f>IFERROR(__xludf.DUMMYFUNCTION("""COMPUTED_VALUE"""),0.0)</f>
        <v>0</v>
      </c>
      <c r="K8" s="2" t="str">
        <f>IFERROR(__xludf.DUMMYFUNCTION("""COMPUTED_VALUE"""),"5 – High-quality, Clean Bangla speech")</f>
        <v>5 – High-quality, Clean Bangla speech</v>
      </c>
      <c r="L8" s="2" t="str">
        <f>IFERROR(__xludf.DUMMYFUNCTION("""COMPUTED_VALUE"""),"No")</f>
        <v>No</v>
      </c>
    </row>
    <row r="9">
      <c r="A9" s="2" t="str">
        <f>IFERROR(__xludf.DUMMYFUNCTION("""COMPUTED_VALUE"""),"collect/spontaneous/YouTube/Bangladesh Open University (BOU)/9X3VAT-z3XQ/3c64aae2-8f91-4ccb-b610-e4b0869a9aa4.flac")</f>
        <v>collect/spontaneous/YouTube/Bangladesh Open University (BOU)/9X3VAT-z3XQ/3c64aae2-8f91-4ccb-b610-e4b0869a9aa4.flac</v>
      </c>
      <c r="B9" s="2">
        <f>IFERROR(__xludf.DUMMYFUNCTION("""COMPUTED_VALUE"""),30.0)</f>
        <v>30</v>
      </c>
      <c r="C9" s="2" t="str">
        <f>IFERROR(__xludf.DUMMYFUNCTION("""COMPUTED_VALUE"""),"এফেক্টেড হতে পারে সাধারণত ইয়াং যারা তারা কম হয় একটু ওল্ডারেই জার্মানির ফর্টি প্লাব যারা তাদের হওয়ার সম্ভাবনা খুব বেশি থাকে এখনই ফোরটি প্লাসের মধ্যে যাদের প্রি এক্সিস্টিং ডায়বেটিস থাকে আগে থেকে ডায়বেটিস থাকে উচ্চ রক্তচাপ থাকে অথবা থাইরোডে সমস্যা থাকে তারা "&amp;"বেশি পরিমাণ ঝুঁকিতে থাকে তবে একটি আশারঅণ্য দিক হচ্ছে ঝুঁকি যেমন আছে এরকম প্রতিরোধ অথবার চিকিৎসারও একটা ভালো দিক আছে যে ফিসিয়াল পলছি এটিকে বলি আমরা মেডিকেল টার্মে লোয়ার মোট নিরন প্যানালাইসিস সো একটি লোয়ার মটো নিরন প্যানালাইসিস")</f>
        <v>এফেক্টেড হতে পারে সাধারণত ইয়াং যারা তারা কম হয় একটু ওল্ডারেই জার্মানির ফর্টি প্লাব যারা তাদের হওয়ার সম্ভাবনা খুব বেশি থাকে এখনই ফোরটি প্লাসের মধ্যে যাদের প্রি এক্সিস্টিং ডায়বেটিস থাকে আগে থেকে ডায়বেটিস থাকে উচ্চ রক্তচাপ থাকে অথবা থাইরোডে সমস্যা থাকে তারা বেশি পরিমাণ ঝুঁকিতে থাকে তবে একটি আশারঅণ্য দিক হচ্ছে ঝুঁকি যেমন আছে এরকম প্রতিরোধ অথবার চিকিৎসারও একটা ভালো দিক আছে যে ফিসিয়াল পলছি এটিকে বলি আমরা মেডিকেল টার্মে লোয়ার মোট নিরন প্যানালাইসিস সো একটি লোয়ার মটো নিরন প্যানালাইসিস</v>
      </c>
      <c r="D9" s="2" t="str">
        <f>IFERROR(__xludf.DUMMYFUNCTION("""COMPUTED_VALUE"""),"No")</f>
        <v>No</v>
      </c>
      <c r="E9" s="2" t="str">
        <f>IFERROR(__xludf.DUMMYFUNCTION("""COMPUTED_VALUE"""),"Yes")</f>
        <v>Yes</v>
      </c>
      <c r="F9" s="2" t="str">
        <f>IFERROR(__xludf.DUMMYFUNCTION("""COMPUTED_VALUE"""),"Yes")</f>
        <v>Yes</v>
      </c>
      <c r="G9" s="2">
        <f>IFERROR(__xludf.DUMMYFUNCTION("""COMPUTED_VALUE"""),0.0)</f>
        <v>0</v>
      </c>
      <c r="H9" s="2">
        <f>IFERROR(__xludf.DUMMYFUNCTION("""COMPUTED_VALUE"""),0.0)</f>
        <v>0</v>
      </c>
      <c r="I9" s="2">
        <f>IFERROR(__xludf.DUMMYFUNCTION("""COMPUTED_VALUE"""),0.0)</f>
        <v>0</v>
      </c>
      <c r="J9" s="2">
        <f>IFERROR(__xludf.DUMMYFUNCTION("""COMPUTED_VALUE"""),0.0)</f>
        <v>0</v>
      </c>
      <c r="K9" s="2" t="str">
        <f>IFERROR(__xludf.DUMMYFUNCTION("""COMPUTED_VALUE"""),"5 – High-quality, Clean Bangla speech")</f>
        <v>5 – High-quality, Clean Bangla speech</v>
      </c>
      <c r="L9" s="2" t="str">
        <f>IFERROR(__xludf.DUMMYFUNCTION("""COMPUTED_VALUE"""),"No")</f>
        <v>No</v>
      </c>
    </row>
    <row r="10">
      <c r="A10" s="2" t="str">
        <f>IFERROR(__xludf.DUMMYFUNCTION("""COMPUTED_VALUE"""),"collect/spontaneous/YouTube/Bangladesh Open University (BOU)/9X3VAT-z3XQ/50c43e24-ba58-49e5-9dbf-10ca32f1150f.flac")</f>
        <v>collect/spontaneous/YouTube/Bangladesh Open University (BOU)/9X3VAT-z3XQ/50c43e24-ba58-49e5-9dbf-10ca32f1150f.flac</v>
      </c>
      <c r="B10" s="2">
        <f>IFERROR(__xludf.DUMMYFUNCTION("""COMPUTED_VALUE"""),30.0)</f>
        <v>30</v>
      </c>
      <c r="C10" s="2" t="str">
        <f>IFERROR(__xludf.DUMMYFUNCTION("""COMPUTED_VALUE"""),"যার ফেসিয়াল পলিসি হলো সে কিন্তু মুখপণ্ডলের মাংসপেশির স্বাভাবিক স্ক্রিয়তা থাকে না তার তখন কিন্তু সে কথা বলতে পারে না তার মানে আমরা ধরে নেই কথা বলতে পারছে না হয়তোবা অন্য কোনো কারণে হতে পারে আসলে এটি ফেসিয়াল পলছির কারণেই তারিখটও হয়েছে অনেক সময় আমরা দেখতে পাই"&amp;" যে জোরে শব্দ প্রডিউজ করা বা তৈরি করা এটিও পেশেন্ট অনেক সময় করতে পারে না এবং আরেকটি কাজ হচ্ছে যে একটা বড় খারাপ দিক এটা ফেশিয়াল পলসির ক্ষেত্রে যে এটা চোখের সাথে সম্পৃক্ত না কিন্তু চোখের যে মাংসপেশি আছে যেটি আমাদের ফে")</f>
        <v>যার ফেসিয়াল পলিসি হলো সে কিন্তু মুখপণ্ডলের মাংসপেশির স্বাভাবিক স্ক্রিয়তা থাকে না তার তখন কিন্তু সে কথা বলতে পারে না তার মানে আমরা ধরে নেই কথা বলতে পারছে না হয়তোবা অন্য কোনো কারণে হতে পারে আসলে এটি ফেসিয়াল পলছির কারণেই তারিখটও হয়েছে অনেক সময় আমরা দেখতে পাই যে জোরে শব্দ প্রডিউজ করা বা তৈরি করা এটিও পেশেন্ট অনেক সময় করতে পারে না এবং আরেকটি কাজ হচ্ছে যে একটা বড় খারাপ দিক এটা ফেশিয়াল পলসির ক্ষেত্রে যে এটা চোখের সাথে সম্পৃক্ত না কিন্তু চোখের যে মাংসপেশি আছে যেটি আমাদের ফে</v>
      </c>
      <c r="D10" s="2" t="str">
        <f>IFERROR(__xludf.DUMMYFUNCTION("""COMPUTED_VALUE"""),"No")</f>
        <v>No</v>
      </c>
      <c r="E10" s="2" t="str">
        <f>IFERROR(__xludf.DUMMYFUNCTION("""COMPUTED_VALUE"""),"Yes")</f>
        <v>Yes</v>
      </c>
      <c r="F10" s="2" t="str">
        <f>IFERROR(__xludf.DUMMYFUNCTION("""COMPUTED_VALUE"""),"Yes")</f>
        <v>Yes</v>
      </c>
      <c r="G10" s="2">
        <f>IFERROR(__xludf.DUMMYFUNCTION("""COMPUTED_VALUE"""),0.0)</f>
        <v>0</v>
      </c>
      <c r="H10" s="2">
        <f>IFERROR(__xludf.DUMMYFUNCTION("""COMPUTED_VALUE"""),0.0)</f>
        <v>0</v>
      </c>
      <c r="I10" s="2">
        <f>IFERROR(__xludf.DUMMYFUNCTION("""COMPUTED_VALUE"""),0.0)</f>
        <v>0</v>
      </c>
      <c r="J10" s="2">
        <f>IFERROR(__xludf.DUMMYFUNCTION("""COMPUTED_VALUE"""),0.0)</f>
        <v>0</v>
      </c>
      <c r="K10" s="2" t="str">
        <f>IFERROR(__xludf.DUMMYFUNCTION("""COMPUTED_VALUE"""),"4– Usable, minor flaws Minor background noise.")</f>
        <v>4– Usable, minor flaws Minor background noise.</v>
      </c>
      <c r="L10" s="2" t="str">
        <f>IFERROR(__xludf.DUMMYFUNCTION("""COMPUTED_VALUE"""),"No")</f>
        <v>No</v>
      </c>
    </row>
    <row r="11">
      <c r="A11" s="2" t="str">
        <f>IFERROR(__xludf.DUMMYFUNCTION("""COMPUTED_VALUE"""),"collect/spontaneous/YouTube/Bangladesh Open University (BOU)/9X3VAT-z3XQ/5e773e80-9a18-4d9c-a65e-c8a9f1355ac6.flac")</f>
        <v>collect/spontaneous/YouTube/Bangladesh Open University (BOU)/9X3VAT-z3XQ/5e773e80-9a18-4d9c-a65e-c8a9f1355ac6.flac</v>
      </c>
      <c r="B11" s="2">
        <f>IFERROR(__xludf.DUMMYFUNCTION("""COMPUTED_VALUE"""),30.0)</f>
        <v>30</v>
      </c>
      <c r="C11" s="2" t="str">
        <f>IFERROR(__xludf.DUMMYFUNCTION("""COMPUTED_VALUE"""),"একটতু ঠাণ্ডা পড়ে অথবা ঠাণ্ডা প্রধান যে দেশগুলো আছে ওইসব এলাকার মানুষদের কিন্তু ঠান্ডা পরলে ফেসিয়াল না প্যারালাইসিস হয়ে ফেসিয়াল পলসি হতে পারে তাছাড়া অনেক সময় আমরা দেখি যে কারো যদি ঘাড়ের অথবা মুখে চারপাশে কোনো স্ট্রাকচার যদি টিউমার হয় সেক্ষেত্রেও কিন্তু ফেস"&amp;"িয়াল নার সে অসুস্থ হয়ে যেতে পারে অথবা ফিসিয়াল নাটা ক্ষতিগ্রস্ত হতে পারে তাছাড়া অনেক সময় টিউবারকোলোসিস হয় যেমন আপনারা জানেন যে সার্ভাইক্যাল লিভ লোর আছে যেখানে টিউবার ক্লসিস হলে লিম্ নোট এফেক্ট হয় সে লিম্প নোটগুলো যদি যখন এপেকট")</f>
        <v>একটতু ঠাণ্ডা পড়ে অথবা ঠাণ্ডা প্রধান যে দেশগুলো আছে ওইসব এলাকার মানুষদের কিন্তু ঠান্ডা পরলে ফেসিয়াল না প্যারালাইসিস হয়ে ফেসিয়াল পলসি হতে পারে তাছাড়া অনেক সময় আমরা দেখি যে কারো যদি ঘাড়ের অথবা মুখে চারপাশে কোনো স্ট্রাকচার যদি টিউমার হয় সেক্ষেত্রেও কিন্তু ফেসিয়াল নার সে অসুস্থ হয়ে যেতে পারে অথবা ফিসিয়াল নাটা ক্ষতিগ্রস্ত হতে পারে তাছাড়া অনেক সময় টিউবারকোলোসিস হয় যেমন আপনারা জানেন যে সার্ভাইক্যাল লিভ লোর আছে যেখানে টিউবার ক্লসিস হলে লিম্ নোট এফেক্ট হয় সে লিম্প নোটগুলো যদি যখন এপেকট</v>
      </c>
      <c r="D11" s="2" t="str">
        <f>IFERROR(__xludf.DUMMYFUNCTION("""COMPUTED_VALUE"""),"No")</f>
        <v>No</v>
      </c>
      <c r="E11" s="2" t="str">
        <f>IFERROR(__xludf.DUMMYFUNCTION("""COMPUTED_VALUE"""),"Yes")</f>
        <v>Yes</v>
      </c>
      <c r="F11" s="2" t="str">
        <f>IFERROR(__xludf.DUMMYFUNCTION("""COMPUTED_VALUE"""),"Yes")</f>
        <v>Yes</v>
      </c>
      <c r="G11" s="2">
        <f>IFERROR(__xludf.DUMMYFUNCTION("""COMPUTED_VALUE"""),0.0)</f>
        <v>0</v>
      </c>
      <c r="H11" s="2">
        <f>IFERROR(__xludf.DUMMYFUNCTION("""COMPUTED_VALUE"""),0.5)</f>
        <v>0.5</v>
      </c>
      <c r="I11" s="2">
        <f>IFERROR(__xludf.DUMMYFUNCTION("""COMPUTED_VALUE"""),0.0)</f>
        <v>0</v>
      </c>
      <c r="J11" s="2">
        <f>IFERROR(__xludf.DUMMYFUNCTION("""COMPUTED_VALUE"""),0.5)</f>
        <v>0.5</v>
      </c>
      <c r="K11" s="2" t="str">
        <f>IFERROR(__xludf.DUMMYFUNCTION("""COMPUTED_VALUE"""),"4– Usable, minor flaws Minor background noise.")</f>
        <v>4– Usable, minor flaws Minor background noise.</v>
      </c>
      <c r="L11" s="2" t="str">
        <f>IFERROR(__xludf.DUMMYFUNCTION("""COMPUTED_VALUE"""),"No")</f>
        <v>No</v>
      </c>
    </row>
    <row r="12">
      <c r="A12" s="2" t="str">
        <f>IFERROR(__xludf.DUMMYFUNCTION("""COMPUTED_VALUE"""),"collect/spontaneous/YouTube/Bangladesh Open University (BOU)/9X3VAT-z3XQ/61003d67-9cac-4af3-b55b-2136053d95d1.flac")</f>
        <v>collect/spontaneous/YouTube/Bangladesh Open University (BOU)/9X3VAT-z3XQ/61003d67-9cac-4af3-b55b-2136053d95d1.flac</v>
      </c>
      <c r="B12" s="2">
        <f>IFERROR(__xludf.DUMMYFUNCTION("""COMPUTED_VALUE"""),30.0)</f>
        <v>30</v>
      </c>
      <c r="C12" s="2" t="str">
        <f>IFERROR(__xludf.DUMMYFUNCTION("""COMPUTED_VALUE"""),"য় তার পাশাপাশি কিন্তু সেভেন ক্রেনিয়েল নাপটাও অ্যাফেক্ট হওয়ার সম্ভাবনা অনেক বেশি থাকে তখন কিন্তু অফিসিয়াল পলসি হওয়ার সম্ভাবনা থাকে ধন্যবাদ স্যার আপনাকে এখন আপনি আমাদেরকে প্রধান লক্ষণসমূহ বা উপসর্গসমূহ যদি আমাদের দর্শকের দেশে কিছু বলতেন কি কী দেখে তারা বুঝব"&amp;"ে তারা ফেসিয়াল পাঁচ রি তে আক্রান্ত হয়েছে ফেসিয়াল পলসি আপনার আগেই বলেছি সো ফেইসের কী কাজ মুখের কী কাজ মুখের অনেকগুলো কাজ সেটি হচ্ছে মুখ দিয়ে আমরা")</f>
        <v>য় তার পাশাপাশি কিন্তু সেভেন ক্রেনিয়েল নাপটাও অ্যাফেক্ট হওয়ার সম্ভাবনা অনেক বেশি থাকে তখন কিন্তু অফিসিয়াল পলসি হওয়ার সম্ভাবনা থাকে ধন্যবাদ স্যার আপনাকে এখন আপনি আমাদেরকে প্রধান লক্ষণসমূহ বা উপসর্গসমূহ যদি আমাদের দর্শকের দেশে কিছু বলতেন কি কী দেখে তারা বুঝবে তারা ফেসিয়াল পাঁচ রি তে আক্রান্ত হয়েছে ফেসিয়াল পলসি আপনার আগেই বলেছি সো ফেইসের কী কাজ মুখের কী কাজ মুখের অনেকগুলো কাজ সেটি হচ্ছে মুখ দিয়ে আমরা</v>
      </c>
      <c r="D12" s="2" t="str">
        <f>IFERROR(__xludf.DUMMYFUNCTION("""COMPUTED_VALUE"""),"No")</f>
        <v>No</v>
      </c>
      <c r="E12" s="2" t="str">
        <f>IFERROR(__xludf.DUMMYFUNCTION("""COMPUTED_VALUE"""),"Yes")</f>
        <v>Yes</v>
      </c>
      <c r="F12" s="2" t="str">
        <f>IFERROR(__xludf.DUMMYFUNCTION("""COMPUTED_VALUE"""),"Yes")</f>
        <v>Yes</v>
      </c>
      <c r="G12" s="2">
        <f>IFERROR(__xludf.DUMMYFUNCTION("""COMPUTED_VALUE"""),0.5)</f>
        <v>0.5</v>
      </c>
      <c r="H12" s="2">
        <f>IFERROR(__xludf.DUMMYFUNCTION("""COMPUTED_VALUE"""),0.5)</f>
        <v>0.5</v>
      </c>
      <c r="I12" s="2">
        <f>IFERROR(__xludf.DUMMYFUNCTION("""COMPUTED_VALUE"""),0.5)</f>
        <v>0.5</v>
      </c>
      <c r="J12" s="2">
        <f>IFERROR(__xludf.DUMMYFUNCTION("""COMPUTED_VALUE"""),0.5)</f>
        <v>0.5</v>
      </c>
      <c r="K12" s="2" t="str">
        <f>IFERROR(__xludf.DUMMYFUNCTION("""COMPUTED_VALUE"""),"4– Usable, minor flaws Minor background noise.")</f>
        <v>4– Usable, minor flaws Minor background noise.</v>
      </c>
      <c r="L12" s="2" t="str">
        <f>IFERROR(__xludf.DUMMYFUNCTION("""COMPUTED_VALUE"""),"No")</f>
        <v>No</v>
      </c>
    </row>
    <row r="13">
      <c r="A13" s="2" t="str">
        <f>IFERROR(__xludf.DUMMYFUNCTION("""COMPUTED_VALUE"""),"collect/spontaneous/YouTube/Bangladesh Open University (BOU)/9X3VAT-z3XQ/6bf2603b-31cf-4a2b-8456-4667d9ebfdf4.flac")</f>
        <v>collect/spontaneous/YouTube/Bangladesh Open University (BOU)/9X3VAT-z3XQ/6bf2603b-31cf-4a2b-8456-4667d9ebfdf4.flac</v>
      </c>
      <c r="B13" s="2">
        <f>IFERROR(__xludf.DUMMYFUNCTION("""COMPUTED_VALUE"""),30.0)</f>
        <v>30</v>
      </c>
      <c r="C13" s="2" t="str">
        <f>IFERROR(__xludf.DUMMYFUNCTION("""COMPUTED_VALUE"""),"আাজাকে দর্শকের উদ্দেশ্যে কিছু বলতেন হ্যাঁ ধন্যবাদ চিকিৎসা পদ্ধতিকে আমরা প্রধানত দুটি ভাগে ভাগ করি একটি হচ্ছে যে তাকে মেডিসিন অবশ্যই খেতে হবে তার পাশাপাশি ডাকে ফিজিও থারাপি নিতে হবে এখন মেডিসিনের দিক থেকে হচ্ছে যে কী কারণে তার অসুবিধাটা হচ্ছে প্রথমে আমরা ক"&amp;"ারণ যখন বর্ণনা করেছি আমরা বলেছি যে মেইন কারণ হচ্ছে এখনো জানা যায়নি বাট তারপরও ভাইরার ইনফেকশনের ফলে হতে পারে এজন্য মেডিসিন স্পেশালি যারা তারা অ্যান্টি ভাইরাল ওষুধ দিয়ে থাকে তাছাড়া স্টেরয়েড দিয়ে থাকে ওরা লিস্ট হেরয়েড খেতে হয় তাছাড়া ভিটামিন")</f>
        <v>আাজাকে দর্শকের উদ্দেশ্যে কিছু বলতেন হ্যাঁ ধন্যবাদ চিকিৎসা পদ্ধতিকে আমরা প্রধানত দুটি ভাগে ভাগ করি একটি হচ্ছে যে তাকে মেডিসিন অবশ্যই খেতে হবে তার পাশাপাশি ডাকে ফিজিও থারাপি নিতে হবে এখন মেডিসিনের দিক থেকে হচ্ছে যে কী কারণে তার অসুবিধাটা হচ্ছে প্রথমে আমরা কারণ যখন বর্ণনা করেছি আমরা বলেছি যে মেইন কারণ হচ্ছে এখনো জানা যায়নি বাট তারপরও ভাইরার ইনফেকশনের ফলে হতে পারে এজন্য মেডিসিন স্পেশালি যারা তারা অ্যান্টি ভাইরাল ওষুধ দিয়ে থাকে তাছাড়া স্টেরয়েড দিয়ে থাকে ওরা লিস্ট হেরয়েড খেতে হয় তাছাড়া ভিটামিন</v>
      </c>
      <c r="D13" s="2" t="str">
        <f>IFERROR(__xludf.DUMMYFUNCTION("""COMPUTED_VALUE"""),"No")</f>
        <v>No</v>
      </c>
      <c r="E13" s="2" t="str">
        <f>IFERROR(__xludf.DUMMYFUNCTION("""COMPUTED_VALUE"""),"Yes")</f>
        <v>Yes</v>
      </c>
      <c r="F13" s="2" t="str">
        <f>IFERROR(__xludf.DUMMYFUNCTION("""COMPUTED_VALUE"""),"Yes")</f>
        <v>Yes</v>
      </c>
      <c r="G13" s="2">
        <f>IFERROR(__xludf.DUMMYFUNCTION("""COMPUTED_VALUE"""),0.5)</f>
        <v>0.5</v>
      </c>
      <c r="H13" s="2">
        <f>IFERROR(__xludf.DUMMYFUNCTION("""COMPUTED_VALUE"""),0.5)</f>
        <v>0.5</v>
      </c>
      <c r="I13" s="2">
        <f>IFERROR(__xludf.DUMMYFUNCTION("""COMPUTED_VALUE"""),0.5)</f>
        <v>0.5</v>
      </c>
      <c r="J13" s="2">
        <f>IFERROR(__xludf.DUMMYFUNCTION("""COMPUTED_VALUE"""),0.5)</f>
        <v>0.5</v>
      </c>
      <c r="K13" s="2" t="str">
        <f>IFERROR(__xludf.DUMMYFUNCTION("""COMPUTED_VALUE"""),"4– Usable, minor flaws Minor background noise.")</f>
        <v>4– Usable, minor flaws Minor background noise.</v>
      </c>
      <c r="L13" s="2" t="str">
        <f>IFERROR(__xludf.DUMMYFUNCTION("""COMPUTED_VALUE"""),"No")</f>
        <v>No</v>
      </c>
    </row>
    <row r="14">
      <c r="A14" s="2" t="str">
        <f>IFERROR(__xludf.DUMMYFUNCTION("""COMPUTED_VALUE"""),"collect/spontaneous/YouTube/Bangladesh Open University (BOU)/9X3VAT-z3XQ/a1cd0edd-c950-4751-97af-19124fcd5faa.flac")</f>
        <v>collect/spontaneous/YouTube/Bangladesh Open University (BOU)/9X3VAT-z3XQ/a1cd0edd-c950-4751-97af-19124fcd5faa.flac</v>
      </c>
      <c r="B14" s="2">
        <f>IFERROR(__xludf.DUMMYFUNCTION("""COMPUTED_VALUE"""),30.0)</f>
        <v>30</v>
      </c>
      <c r="C14" s="2" t="str">
        <f>IFERROR(__xludf.DUMMYFUNCTION("""COMPUTED_VALUE"""),"হয় সেটি উপরে যায় বা নিচে আসে যখন তার ফিশিয়াল পলসি হলো তখন কিন্তু সে নরমালি হাসতে পারে না অনেক সময় আমরা দেখি যে আমরা যখন খাবার খাই তো ধরা যাক যে কারো ফিসিয়াল পলিসির ডান পাশো সেভেন কেনিয়েল লার্ভের প্যারালাইসিস হলো তো ডান পাশে যখন সে খাবার মুখে দিবে তখন সে খ"&amp;"াবারকে চিবুতে পারবে না ডান পাশ দিয়ে যখন সে পানি খাওয়ার চেষ্টা করবে তখন দেখা যাবে তার মুখ দিয়ে পানি গড়িয়ে পড়ে যাচ্ছে কারণ ডানপাশের মাংসপেশি দুর্বল হয়ে গিয়েছে োএরকম ফেসিয়াল পলসি দুই পাশে নার যদি অ্যাপেক্টেড")</f>
        <v>হয় সেটি উপরে যায় বা নিচে আসে যখন তার ফিশিয়াল পলসি হলো তখন কিন্তু সে নরমালি হাসতে পারে না অনেক সময় আমরা দেখি যে আমরা যখন খাবার খাই তো ধরা যাক যে কারো ফিসিয়াল পলিসির ডান পাশো সেভেন কেনিয়েল লার্ভের প্যারালাইসিস হলো তো ডান পাশে যখন সে খাবার মুখে দিবে তখন সে খাবারকে চিবুতে পারবে না ডান পাশ দিয়ে যখন সে পানি খাওয়ার চেষ্টা করবে তখন দেখা যাবে তার মুখ দিয়ে পানি গড়িয়ে পড়ে যাচ্ছে কারণ ডানপাশের মাংসপেশি দুর্বল হয়ে গিয়েছে োএরকম ফেসিয়াল পলসি দুই পাশে নার যদি অ্যাপেক্টেড</v>
      </c>
      <c r="D14" s="2" t="str">
        <f>IFERROR(__xludf.DUMMYFUNCTION("""COMPUTED_VALUE"""),"No")</f>
        <v>No</v>
      </c>
      <c r="E14" s="2" t="str">
        <f>IFERROR(__xludf.DUMMYFUNCTION("""COMPUTED_VALUE"""),"Yes")</f>
        <v>Yes</v>
      </c>
      <c r="F14" s="2" t="str">
        <f>IFERROR(__xludf.DUMMYFUNCTION("""COMPUTED_VALUE"""),"Yes")</f>
        <v>Yes</v>
      </c>
      <c r="G14" s="2">
        <f>IFERROR(__xludf.DUMMYFUNCTION("""COMPUTED_VALUE"""),0.5)</f>
        <v>0.5</v>
      </c>
      <c r="H14" s="2">
        <f>IFERROR(__xludf.DUMMYFUNCTION("""COMPUTED_VALUE"""),0.5)</f>
        <v>0.5</v>
      </c>
      <c r="I14" s="2">
        <f>IFERROR(__xludf.DUMMYFUNCTION("""COMPUTED_VALUE"""),0.5)</f>
        <v>0.5</v>
      </c>
      <c r="J14" s="2">
        <f>IFERROR(__xludf.DUMMYFUNCTION("""COMPUTED_VALUE"""),0.5)</f>
        <v>0.5</v>
      </c>
      <c r="K14" s="2" t="str">
        <f>IFERROR(__xludf.DUMMYFUNCTION("""COMPUTED_VALUE"""),"5 – High-quality, Clean Bangla speech")</f>
        <v>5 – High-quality, Clean Bangla speech</v>
      </c>
      <c r="L14" s="2" t="str">
        <f>IFERROR(__xludf.DUMMYFUNCTION("""COMPUTED_VALUE"""),"No")</f>
        <v>No</v>
      </c>
    </row>
    <row r="15">
      <c r="A15" s="2" t="str">
        <f>IFERROR(__xludf.DUMMYFUNCTION("""COMPUTED_VALUE"""),"collect/spontaneous/YouTube/Bangladesh Open University (BOU)/9X3VAT-z3XQ/b9d8983c-10cd-4c20-9e26-9fed54c6d987.flac")</f>
        <v>collect/spontaneous/YouTube/Bangladesh Open University (BOU)/9X3VAT-z3XQ/b9d8983c-10cd-4c20-9e26-9fed54c6d987.flac</v>
      </c>
      <c r="B15" s="2">
        <f>IFERROR(__xludf.DUMMYFUNCTION("""COMPUTED_VALUE"""),30.0)</f>
        <v>30</v>
      </c>
      <c r="C15" s="2" t="str">
        <f>IFERROR(__xludf.DUMMYFUNCTION("""COMPUTED_VALUE"""),"মুখে তাহলে সেটাকে আমরা বলি বায়োলেটালফিসিয়াল পলছি তখন কিন্তু ওই ব্যক্তির দুপাশেই সে দৈনন্দিন কাজের জন্য যে খাবার গ্রহণ করা অথবা শব্দ তৈরি করা যেমন একটা বড় অসুবিধা হলো তাদের স্পিচে সমস্যা থাকে মানে কথায় সমস্যা থাকে আপনারা দেখেন আমরা যখন কথা বলি তখন কিন্তু আ"&amp;"মরা ব্রেথ হোল্ড করি মানে আমরা বলি শ্যাসকে ধরে রাখি তারপর কিন্তু আমাদের কথা প্রোভিউস হয় বা উৎপন্ন হয় কিন্তু যাদের ফেসিয়াল পোলসি থাকে এই ব্রেট বা শ্বাসকে ধরে রাখার জন্য কিন্তু আমাদের মুখ্য মণ্ডলের মাংসপেশি কাজ করে তার মানে")</f>
        <v>মুখে তাহলে সেটাকে আমরা বলি বায়োলেটালফিসিয়াল পলছি তখন কিন্তু ওই ব্যক্তির দুপাশেই সে দৈনন্দিন কাজের জন্য যে খাবার গ্রহণ করা অথবা শব্দ তৈরি করা যেমন একটা বড় অসুবিধা হলো তাদের স্পিচে সমস্যা থাকে মানে কথায় সমস্যা থাকে আপনারা দেখেন আমরা যখন কথা বলি তখন কিন্তু আমরা ব্রেথ হোল্ড করি মানে আমরা বলি শ্যাসকে ধরে রাখি তারপর কিন্তু আমাদের কথা প্রোভিউস হয় বা উৎপন্ন হয় কিন্তু যাদের ফেসিয়াল পোলসি থাকে এই ব্রেট বা শ্বাসকে ধরে রাখার জন্য কিন্তু আমাদের মুখ্য মণ্ডলের মাংসপেশি কাজ করে তার মানে</v>
      </c>
      <c r="D15" s="2" t="str">
        <f>IFERROR(__xludf.DUMMYFUNCTION("""COMPUTED_VALUE"""),"No")</f>
        <v>No</v>
      </c>
      <c r="E15" s="2" t="str">
        <f>IFERROR(__xludf.DUMMYFUNCTION("""COMPUTED_VALUE"""),"Yes")</f>
        <v>Yes</v>
      </c>
      <c r="F15" s="2" t="str">
        <f>IFERROR(__xludf.DUMMYFUNCTION("""COMPUTED_VALUE"""),"Yes")</f>
        <v>Yes</v>
      </c>
      <c r="G15" s="2">
        <f>IFERROR(__xludf.DUMMYFUNCTION("""COMPUTED_VALUE"""),0.5)</f>
        <v>0.5</v>
      </c>
      <c r="H15" s="2">
        <f>IFERROR(__xludf.DUMMYFUNCTION("""COMPUTED_VALUE"""),0.5)</f>
        <v>0.5</v>
      </c>
      <c r="I15" s="2">
        <f>IFERROR(__xludf.DUMMYFUNCTION("""COMPUTED_VALUE"""),1.0)</f>
        <v>1</v>
      </c>
      <c r="J15" s="2">
        <f>IFERROR(__xludf.DUMMYFUNCTION("""COMPUTED_VALUE"""),0.5)</f>
        <v>0.5</v>
      </c>
      <c r="K15" s="2" t="str">
        <f>IFERROR(__xludf.DUMMYFUNCTION("""COMPUTED_VALUE"""),"5 – High-quality, Clean Bangla speech")</f>
        <v>5 – High-quality, Clean Bangla speech</v>
      </c>
      <c r="L15" s="2" t="str">
        <f>IFERROR(__xludf.DUMMYFUNCTION("""COMPUTED_VALUE"""),"No")</f>
        <v>No</v>
      </c>
    </row>
    <row r="16">
      <c r="A16" s="2" t="str">
        <f>IFERROR(__xludf.DUMMYFUNCTION("""COMPUTED_VALUE"""),"collect/spontaneous/YouTube/Bangladesh Open University (BOU)/9X3VAT-z3XQ/bc68c126-ea28-4412-912e-835ce5761a53.flac")</f>
        <v>collect/spontaneous/YouTube/Bangladesh Open University (BOU)/9X3VAT-z3XQ/bc68c126-ea28-4412-912e-835ce5761a53.flac</v>
      </c>
      <c r="B16" s="2">
        <f>IFERROR(__xludf.DUMMYFUNCTION("""COMPUTED_VALUE"""),30.0)</f>
        <v>30</v>
      </c>
      <c r="C16" s="2" t="str">
        <f>IFERROR(__xludf.DUMMYFUNCTION("""COMPUTED_VALUE"""),"চিবাতে পারেন বা পানি খাওয়ার সময় যদি আপনার দেখেন যে পানি পড়ে যাচ্ছে সেক্ষেত্রে আপনার পাইপ ব্যবহার করতে পারেন এবো সেই সাথে সাথে আপনারা ধুলা বালির থেকে চোখকে নিয়ন্ত্রণ করার জন্য আপনারা খেয়াল রাখতে হবে যাতে চোখের ধূলাভালি বা ধূলকণা যাতে না যায় আমাদের আজকের এই"&amp;" অনুষ্ঠান আপনাদের পরবর্তী জীবন সুস্থ রাখতে সহায়তা করবে তারপরও যদি আপনাদের কিছু জানান জানতে হয় সেক্ষেত্রে আমাদের জানাতে সংকোচ করবেন না আমাদের সাথে যোগাযোগের ঠিকানা ডিন স্কুল অব সায়েন্স এযান্ড টেকনোলোজি বাংলাদেশ উন্মুক্ত")</f>
        <v>চিবাতে পারেন বা পানি খাওয়ার সময় যদি আপনার দেখেন যে পানি পড়ে যাচ্ছে সেক্ষেত্রে আপনার পাইপ ব্যবহার করতে পারেন এবো সেই সাথে সাথে আপনারা ধুলা বালির থেকে চোখকে নিয়ন্ত্রণ করার জন্য আপনারা খেয়াল রাখতে হবে যাতে চোখের ধূলাভালি বা ধূলকণা যাতে না যায় আমাদের আজকের এই অনুষ্ঠান আপনাদের পরবর্তী জীবন সুস্থ রাখতে সহায়তা করবে তারপরও যদি আপনাদের কিছু জানান জানতে হয় সেক্ষেত্রে আমাদের জানাতে সংকোচ করবেন না আমাদের সাথে যোগাযোগের ঠিকানা ডিন স্কুল অব সায়েন্স এযান্ড টেকনোলোজি বাংলাদেশ উন্মুক্ত</v>
      </c>
      <c r="D16" s="2" t="str">
        <f>IFERROR(__xludf.DUMMYFUNCTION("""COMPUTED_VALUE"""),"Yes")</f>
        <v>Yes</v>
      </c>
      <c r="E16" s="2" t="str">
        <f>IFERROR(__xludf.DUMMYFUNCTION("""COMPUTED_VALUE"""),"No")</f>
        <v>No</v>
      </c>
      <c r="F16" s="2" t="str">
        <f>IFERROR(__xludf.DUMMYFUNCTION("""COMPUTED_VALUE"""),"Yes")</f>
        <v>Yes</v>
      </c>
      <c r="G16" s="2">
        <f>IFERROR(__xludf.DUMMYFUNCTION("""COMPUTED_VALUE"""),0.5)</f>
        <v>0.5</v>
      </c>
      <c r="H16" s="2">
        <f>IFERROR(__xludf.DUMMYFUNCTION("""COMPUTED_VALUE"""),0.5)</f>
        <v>0.5</v>
      </c>
      <c r="I16" s="2">
        <f>IFERROR(__xludf.DUMMYFUNCTION("""COMPUTED_VALUE"""),0.5)</f>
        <v>0.5</v>
      </c>
      <c r="J16" s="2">
        <f>IFERROR(__xludf.DUMMYFUNCTION("""COMPUTED_VALUE"""),0.5)</f>
        <v>0.5</v>
      </c>
      <c r="K16" s="2" t="str">
        <f>IFERROR(__xludf.DUMMYFUNCTION("""COMPUTED_VALUE"""),"4– Usable, minor flaws Minor background noise.")</f>
        <v>4– Usable, minor flaws Minor background noise.</v>
      </c>
      <c r="L16" s="2" t="str">
        <f>IFERROR(__xludf.DUMMYFUNCTION("""COMPUTED_VALUE"""),"No")</f>
        <v>No</v>
      </c>
    </row>
    <row r="17">
      <c r="A17" s="2" t="str">
        <f>IFERROR(__xludf.DUMMYFUNCTION("""COMPUTED_VALUE"""),"collect/spontaneous/YouTube/Bangladesh Open University (BOU)/9X3VAT-z3XQ/da822671-08de-4f7c-b75e-1d84ea986788.flac")</f>
        <v>collect/spontaneous/YouTube/Bangladesh Open University (BOU)/9X3VAT-z3XQ/da822671-08de-4f7c-b75e-1d84ea986788.flac</v>
      </c>
      <c r="B17" s="2">
        <f>IFERROR(__xludf.DUMMYFUNCTION("""COMPUTED_VALUE"""),30.0)</f>
        <v>30</v>
      </c>
      <c r="C17" s="2" t="str">
        <f>IFERROR(__xludf.DUMMYFUNCTION("""COMPUTED_VALUE"""),"তিন সপ্তাহের মধ্যে যদি সে রেগুলাপ প্র্যাকটিস করে তাহলে সেক্ষেত্রে তার আগের এক্সপ্রেশনগুলো ফেসে সে ফিরে পাওয়ার সম্ভাবনা খুব বেশি থাকে ধন্যবাদ স্যার চমৎকারভাবে আপনি আমাদের চিকিৎসা পদ্ধতি এবং এর কারণসমূহ আমাদের জানালেন এখন শুধু চিকিৎসা পদ্ধতি নিলে হবে না তার"&amp;" সাথে সাথে আমাদের কিছু নিয়মকানুন মেনে চলতে হবে যেমন আমরা যদি আমাদের চোখ আক্রান্ত থাকে সেক্ষেত্রে আমাদের সানগ্লাস ব্যবহার করতে হবে অথবা রাতে ঘুমানোর সময় যদি আমাদের চোখ খোলা থাকে সেক্ষেত্রে আইপ্যাড ব্য")</f>
        <v>তিন সপ্তাহের মধ্যে যদি সে রেগুলাপ প্র্যাকটিস করে তাহলে সেক্ষেত্রে তার আগের এক্সপ্রেশনগুলো ফেসে সে ফিরে পাওয়ার সম্ভাবনা খুব বেশি থাকে ধন্যবাদ স্যার চমৎকারভাবে আপনি আমাদের চিকিৎসা পদ্ধতি এবং এর কারণসমূহ আমাদের জানালেন এখন শুধু চিকিৎসা পদ্ধতি নিলে হবে না তার সাথে সাথে আমাদের কিছু নিয়মকানুন মেনে চলতে হবে যেমন আমরা যদি আমাদের চোখ আক্রান্ত থাকে সেক্ষেত্রে আমাদের সানগ্লাস ব্যবহার করতে হবে অথবা রাতে ঘুমানোর সময় যদি আমাদের চোখ খোলা থাকে সেক্ষেত্রে আইপ্যাড ব্য</v>
      </c>
      <c r="D17" s="2" t="str">
        <f>IFERROR(__xludf.DUMMYFUNCTION("""COMPUTED_VALUE"""),"Yes")</f>
        <v>Yes</v>
      </c>
      <c r="E17" s="2" t="str">
        <f>IFERROR(__xludf.DUMMYFUNCTION("""COMPUTED_VALUE"""),"No")</f>
        <v>No</v>
      </c>
      <c r="F17" s="2" t="str">
        <f>IFERROR(__xludf.DUMMYFUNCTION("""COMPUTED_VALUE"""),"Yes")</f>
        <v>Yes</v>
      </c>
      <c r="G17" s="2">
        <f>IFERROR(__xludf.DUMMYFUNCTION("""COMPUTED_VALUE"""),0.5)</f>
        <v>0.5</v>
      </c>
      <c r="H17" s="2">
        <f>IFERROR(__xludf.DUMMYFUNCTION("""COMPUTED_VALUE"""),1.0)</f>
        <v>1</v>
      </c>
      <c r="I17" s="2">
        <f>IFERROR(__xludf.DUMMYFUNCTION("""COMPUTED_VALUE"""),1.0)</f>
        <v>1</v>
      </c>
      <c r="J17" s="2">
        <f>IFERROR(__xludf.DUMMYFUNCTION("""COMPUTED_VALUE"""),0.5)</f>
        <v>0.5</v>
      </c>
      <c r="K17" s="2" t="str">
        <f>IFERROR(__xludf.DUMMYFUNCTION("""COMPUTED_VALUE"""),"5 – High-quality, Clean Bangla speech")</f>
        <v>5 – High-quality, Clean Bangla speech</v>
      </c>
      <c r="L17" s="2" t="str">
        <f>IFERROR(__xludf.DUMMYFUNCTION("""COMPUTED_VALUE"""),"Yes")</f>
        <v>Yes</v>
      </c>
    </row>
    <row r="18">
      <c r="A18" s="2" t="str">
        <f>IFERROR(__xludf.DUMMYFUNCTION("""COMPUTED_VALUE"""),"collect/spontaneous/YouTube/Bangladesh Open University (BOU)/9X3VAT-z3XQ/db916fcb-f6b5-4e4a-9ab6-cf29bde650a6.flac")</f>
        <v>collect/spontaneous/YouTube/Bangladesh Open University (BOU)/9X3VAT-z3XQ/db916fcb-f6b5-4e4a-9ab6-cf29bde650a6.flac</v>
      </c>
      <c r="B18" s="2">
        <f>IFERROR(__xludf.DUMMYFUNCTION("""COMPUTED_VALUE"""),30.0)</f>
        <v>30</v>
      </c>
      <c r="C18" s="2" t="str">
        <f>IFERROR(__xludf.DUMMYFUNCTION("""COMPUTED_VALUE"""),"একটি নার্ব আছে যে নারটি আমাদের মুখের যে সচলতা এবং মাংসপেশীর সক্ষমতা এগুলো সবকিছু সে নিয়ন্ত্রণ করে কোনো কারণে যদি সে নাটি ড্যামেজ হয় সেটি আঘাত জর্্ত কারণে হোক অথবা ইনফেকশনের কারণেই হোক তখন কিন্তু মুখের ফাংশনটা সে নরমালি একজন ব্যক্তি করতে পারে না এ যে সে কর"&amp;"তে পারেনা বা অক্ষমতা তৈরি হয় এটিকে আমরা ফেসিয়াল বলছি বলি স্যার আরেকটু আমাদের বলবেন কী কী কারণে সাধারণত মুখের মাংসপেশিগুলো ক্ষতিগ্রস্ত হয়")</f>
        <v>একটি নার্ব আছে যে নারটি আমাদের মুখের যে সচলতা এবং মাংসপেশীর সক্ষমতা এগুলো সবকিছু সে নিয়ন্ত্রণ করে কোনো কারণে যদি সে নাটি ড্যামেজ হয় সেটি আঘাত জর্্ত কারণে হোক অথবা ইনফেকশনের কারণেই হোক তখন কিন্তু মুখের ফাংশনটা সে নরমালি একজন ব্যক্তি করতে পারে না এ যে সে করতে পারেনা বা অক্ষমতা তৈরি হয় এটিকে আমরা ফেসিয়াল বলছি বলি স্যার আরেকটু আমাদের বলবেন কী কী কারণে সাধারণত মুখের মাংসপেশিগুলো ক্ষতিগ্রস্ত হয়</v>
      </c>
      <c r="D18" s="2" t="str">
        <f>IFERROR(__xludf.DUMMYFUNCTION("""COMPUTED_VALUE"""),"No")</f>
        <v>No</v>
      </c>
      <c r="E18" s="2" t="str">
        <f>IFERROR(__xludf.DUMMYFUNCTION("""COMPUTED_VALUE"""),"Yes")</f>
        <v>Yes</v>
      </c>
      <c r="F18" s="2" t="str">
        <f>IFERROR(__xludf.DUMMYFUNCTION("""COMPUTED_VALUE"""),"Yes")</f>
        <v>Yes</v>
      </c>
      <c r="G18" s="2">
        <f>IFERROR(__xludf.DUMMYFUNCTION("""COMPUTED_VALUE"""),0.5)</f>
        <v>0.5</v>
      </c>
      <c r="H18" s="2">
        <f>IFERROR(__xludf.DUMMYFUNCTION("""COMPUTED_VALUE"""),0.5)</f>
        <v>0.5</v>
      </c>
      <c r="I18" s="2">
        <f>IFERROR(__xludf.DUMMYFUNCTION("""COMPUTED_VALUE"""),0.0)</f>
        <v>0</v>
      </c>
      <c r="J18" s="2">
        <f>IFERROR(__xludf.DUMMYFUNCTION("""COMPUTED_VALUE"""),0.5)</f>
        <v>0.5</v>
      </c>
      <c r="K18" s="2" t="str">
        <f>IFERROR(__xludf.DUMMYFUNCTION("""COMPUTED_VALUE"""),"5 – High-quality, Clean Bangla speech")</f>
        <v>5 – High-quality, Clean Bangla speech</v>
      </c>
      <c r="L18" s="2" t="str">
        <f>IFERROR(__xludf.DUMMYFUNCTION("""COMPUTED_VALUE"""),"No")</f>
        <v>No</v>
      </c>
    </row>
    <row r="19">
      <c r="A19" s="2" t="str">
        <f>IFERROR(__xludf.DUMMYFUNCTION("""COMPUTED_VALUE"""),"collect/spontaneous/YouTube/Bangladesh Open University (BOU)/9X3VAT-z3XQ/e69065e6-59e2-4ae4-9e27-b6e64d37494a.flac")</f>
        <v>collect/spontaneous/YouTube/Bangladesh Open University (BOU)/9X3VAT-z3XQ/e69065e6-59e2-4ae4-9e27-b6e64d37494a.flac</v>
      </c>
      <c r="B19" s="2">
        <f>IFERROR(__xludf.DUMMYFUNCTION("""COMPUTED_VALUE"""),30.0)</f>
        <v>30</v>
      </c>
      <c r="C19" s="2" t="str">
        <f>IFERROR(__xludf.DUMMYFUNCTION("""COMPUTED_VALUE"""),"ভি ওয়ান বি সিক্স এবং বিটুয়েলভ নামে ট্যাবলেট পাওয়া যায় বাজারে এগুলো তারা প্রেসক্রাইব করে থাকে তোযেহেতু আমরা বলেছি এটি একটি মাংসপেশির অক্ষমতা বা প্যারালাইসিস সুতরাং এটাকে সচল করার জন্য আমাদেরকে অবশ্যই এক্সারসাইজ করতে হবে এখন এক্সারসাইজের ক্ষেত্রে একজন বিশেষ"&amp;"জ্ঞ ফিজিওথারবির চিকিৎসক তাকে বিভিন্ন ধরনের মুখের এক্সারসাইজ দিয়ে থাকে যেমন বিভিনোদরনের টেকনিক আছে যেটাকে আমরা বলি প্রোপিওসেফটি মিরো মাস্কুলোর ফ্যাসিলিটেশন বা সংক্ষেপে কে পিএনএ বলি তারপর তাকে মাসেল স্টিমুলেটর ব্যবহার করা হয় যাতে মাসেল বা মাংসতা")</f>
        <v>ভি ওয়ান বি সিক্স এবং বিটুয়েলভ নামে ট্যাবলেট পাওয়া যায় বাজারে এগুলো তারা প্রেসক্রাইব করে থাকে তোযেহেতু আমরা বলেছি এটি একটি মাংসপেশির অক্ষমতা বা প্যারালাইসিস সুতরাং এটাকে সচল করার জন্য আমাদেরকে অবশ্যই এক্সারসাইজ করতে হবে এখন এক্সারসাইজের ক্ষেত্রে একজন বিশেষজ্ঞ ফিজিওথারবির চিকিৎসক তাকে বিভিন্ন ধরনের মুখের এক্সারসাইজ দিয়ে থাকে যেমন বিভিনোদরনের টেকনিক আছে যেটাকে আমরা বলি প্রোপিওসেফটি মিরো মাস্কুলোর ফ্যাসিলিটেশন বা সংক্ষেপে কে পিএনএ বলি তারপর তাকে মাসেল স্টিমুলেটর ব্যবহার করা হয় যাতে মাসেল বা মাংসতা</v>
      </c>
      <c r="D19" s="2" t="str">
        <f>IFERROR(__xludf.DUMMYFUNCTION("""COMPUTED_VALUE"""),"No")</f>
        <v>No</v>
      </c>
      <c r="E19" s="2" t="str">
        <f>IFERROR(__xludf.DUMMYFUNCTION("""COMPUTED_VALUE"""),"Yes")</f>
        <v>Yes</v>
      </c>
      <c r="F19" s="2" t="str">
        <f>IFERROR(__xludf.DUMMYFUNCTION("""COMPUTED_VALUE"""),"Yes")</f>
        <v>Yes</v>
      </c>
      <c r="G19" s="2">
        <f>IFERROR(__xludf.DUMMYFUNCTION("""COMPUTED_VALUE"""),0.5)</f>
        <v>0.5</v>
      </c>
      <c r="H19" s="2">
        <f>IFERROR(__xludf.DUMMYFUNCTION("""COMPUTED_VALUE"""),0.5)</f>
        <v>0.5</v>
      </c>
      <c r="I19" s="2">
        <f>IFERROR(__xludf.DUMMYFUNCTION("""COMPUTED_VALUE"""),0.5)</f>
        <v>0.5</v>
      </c>
      <c r="J19" s="2">
        <f>IFERROR(__xludf.DUMMYFUNCTION("""COMPUTED_VALUE"""),0.5)</f>
        <v>0.5</v>
      </c>
      <c r="K19" s="2" t="str">
        <f>IFERROR(__xludf.DUMMYFUNCTION("""COMPUTED_VALUE"""),"5 – High-quality, Clean Bangla speech")</f>
        <v>5 – High-quality, Clean Bangla speech</v>
      </c>
      <c r="L19" s="2" t="str">
        <f>IFERROR(__xludf.DUMMYFUNCTION("""COMPUTED_VALUE"""),"Yes")</f>
        <v>Yes</v>
      </c>
    </row>
    <row r="20">
      <c r="A20" s="2" t="str">
        <f>IFERROR(__xludf.DUMMYFUNCTION("""COMPUTED_VALUE"""),"collect/spontaneous/YouTube/Bangladesh Open University (BOU)/9X3VAT-z3XQ/ef4d99cb-070d-4e6e-91e8-1c0003feffab.flac")</f>
        <v>collect/spontaneous/YouTube/Bangladesh Open University (BOU)/9X3VAT-z3XQ/ef4d99cb-070d-4e6e-91e8-1c0003feffab.flac</v>
      </c>
      <c r="B20" s="2">
        <f>IFERROR(__xludf.DUMMYFUNCTION("""COMPUTED_VALUE"""),30.0)</f>
        <v>30</v>
      </c>
      <c r="C20" s="2" t="str">
        <f>IFERROR(__xludf.DUMMYFUNCTION("""COMPUTED_VALUE"""),"চেবা মুখের সাথে সম্পৃক্ত তো ও আক্রান্ত যে চোখের চারপাশ যে এরিয়াটা আছে এই এরিয়া বা অংশটুকু আর কাজ করে না আগের মতো স্বাভরিকভাবে তোতার ফলে যে অসুবিধাটা হয় চোখ সবসময় খোলা থাকে এখন চোখ খোলা থাকলে অসুবিধা কোথায় বাড়ি থেকে ধূলো বালি আসতে পারে এবং চোখে ইনফেকশন হতে"&amp;" পারে আরেকটি বিষয় আমরা অনেক সময় দেখি যে চোখ সবসময় খোলা থাকলে কারো চোখে থেকে বেশি পরিমাণ পানি বের হয় কারো চোখ থেকে কম পরিমাণ পানি বের হয় তার মানে কারো ক্ষেত্রে ড্রাই আইস হয়ে যায় কারো ক্ষেত্রে ওয়াটারি আইস হয়ে যায় এটি কিন্তু একটা অসুবিধা")</f>
        <v>চেবা মুখের সাথে সম্পৃক্ত তো ও আক্রান্ত যে চোখের চারপাশ যে এরিয়াটা আছে এই এরিয়া বা অংশটুকু আর কাজ করে না আগের মতো স্বাভরিকভাবে তোতার ফলে যে অসুবিধাটা হয় চোখ সবসময় খোলা থাকে এখন চোখ খোলা থাকলে অসুবিধা কোথায় বাড়ি থেকে ধূলো বালি আসতে পারে এবং চোখে ইনফেকশন হতে পারে আরেকটি বিষয় আমরা অনেক সময় দেখি যে চোখ সবসময় খোলা থাকলে কারো চোখে থেকে বেশি পরিমাণ পানি বের হয় কারো চোখ থেকে কম পরিমাণ পানি বের হয় তার মানে কারো ক্ষেত্রে ড্রাই আইস হয়ে যায় কারো ক্ষেত্রে ওয়াটারি আইস হয়ে যায় এটি কিন্তু একটা অসুবিধা</v>
      </c>
      <c r="D20" s="2" t="str">
        <f>IFERROR(__xludf.DUMMYFUNCTION("""COMPUTED_VALUE"""),"Yes")</f>
        <v>Yes</v>
      </c>
      <c r="E20" s="2" t="str">
        <f>IFERROR(__xludf.DUMMYFUNCTION("""COMPUTED_VALUE"""),"No")</f>
        <v>No</v>
      </c>
      <c r="F20" s="2" t="str">
        <f>IFERROR(__xludf.DUMMYFUNCTION("""COMPUTED_VALUE"""),"Yes")</f>
        <v>Yes</v>
      </c>
      <c r="G20" s="2">
        <f>IFERROR(__xludf.DUMMYFUNCTION("""COMPUTED_VALUE"""),0.5)</f>
        <v>0.5</v>
      </c>
      <c r="H20" s="2">
        <f>IFERROR(__xludf.DUMMYFUNCTION("""COMPUTED_VALUE"""),1.0)</f>
        <v>1</v>
      </c>
      <c r="I20" s="2">
        <f>IFERROR(__xludf.DUMMYFUNCTION("""COMPUTED_VALUE"""),1.0)</f>
        <v>1</v>
      </c>
      <c r="J20" s="2">
        <f>IFERROR(__xludf.DUMMYFUNCTION("""COMPUTED_VALUE"""),0.5)</f>
        <v>0.5</v>
      </c>
      <c r="K20" s="2" t="str">
        <f>IFERROR(__xludf.DUMMYFUNCTION("""COMPUTED_VALUE"""),"5 – High-quality, Clean Bangla speech")</f>
        <v>5 – High-quality, Clean Bangla speech</v>
      </c>
      <c r="L20" s="2" t="str">
        <f>IFERROR(__xludf.DUMMYFUNCTION("""COMPUTED_VALUE"""),"No")</f>
        <v>No</v>
      </c>
    </row>
    <row r="21">
      <c r="A21" s="2" t="str">
        <f>IFERROR(__xludf.DUMMYFUNCTION("""COMPUTED_VALUE"""),"collect/spontaneous/YouTube/Bangladesh Open University (BOU)/9X3VAT-z3XQ/f4720994-dd19-4134-a756-c03f49f6d072.flac")</f>
        <v>collect/spontaneous/YouTube/Bangladesh Open University (BOU)/9X3VAT-z3XQ/f4720994-dd19-4134-a756-c03f49f6d072.flac</v>
      </c>
      <c r="B21" s="2">
        <f>IFERROR(__xludf.DUMMYFUNCTION("""COMPUTED_VALUE"""),30.0)</f>
        <v>30</v>
      </c>
      <c r="C21" s="2" t="str">
        <f>IFERROR(__xludf.DUMMYFUNCTION("""COMPUTED_VALUE"""),"হাই মুখ দিয়ে আমরা আমাদের দৈরনীদি জীবনের যে এক্সপ্রেশনগুলো আছে বা অনুভূতিকে প্রকাশ করি আমরা মুখে চারপাশে মাসেলের সহযোগিতায় আমরা আমাদের চোখকে খুলি এবং দেখেন আমরা অনেক সময় ভুরু কুঁচকাই যেটাকে আমরা বলি রিংকলিং অফ দায ফোর হেড সো ইরিংকলিং কাজটা সে করতে পারে না "&amp;"আমরা কোন খাবার যখন চাবাই যেটাকে বলি মেস্টিকেশন মেডিকেল টার্মে োকারো যদি ফেসিয়াল পলসি হয় তখন কিন্তু ম্যাস্টিকেশন বা চাপাতে সে পারে না তারপরে আমরা যখন স্মাইল করি বা হাসি দেখেন আমদের ঠোঁটের কোনার কিন্তু পরিবর্তন")</f>
        <v>হাই মুখ দিয়ে আমরা আমাদের দৈরনীদি জীবনের যে এক্সপ্রেশনগুলো আছে বা অনুভূতিকে প্রকাশ করি আমরা মুখে চারপাশে মাসেলের সহযোগিতায় আমরা আমাদের চোখকে খুলি এবং দেখেন আমরা অনেক সময় ভুরু কুঁচকাই যেটাকে আমরা বলি রিংকলিং অফ দায ফোর হেড সো ইরিংকলিং কাজটা সে করতে পারে না আমরা কোন খাবার যখন চাবাই যেটাকে বলি মেস্টিকেশন মেডিকেল টার্মে োকারো যদি ফেসিয়াল পলসি হয় তখন কিন্তু ম্যাস্টিকেশন বা চাপাতে সে পারে না তারপরে আমরা যখন স্মাইল করি বা হাসি দেখেন আমদের ঠোঁটের কোনার কিন্তু পরিবর্তন</v>
      </c>
      <c r="D21" s="2" t="str">
        <f>IFERROR(__xludf.DUMMYFUNCTION("""COMPUTED_VALUE"""),"Yes")</f>
        <v>Yes</v>
      </c>
      <c r="E21" s="2" t="str">
        <f>IFERROR(__xludf.DUMMYFUNCTION("""COMPUTED_VALUE"""),"No")</f>
        <v>No</v>
      </c>
      <c r="F21" s="2" t="str">
        <f>IFERROR(__xludf.DUMMYFUNCTION("""COMPUTED_VALUE"""),"Yes")</f>
        <v>Yes</v>
      </c>
      <c r="G21" s="2">
        <f>IFERROR(__xludf.DUMMYFUNCTION("""COMPUTED_VALUE"""),1.0)</f>
        <v>1</v>
      </c>
      <c r="H21" s="2">
        <f>IFERROR(__xludf.DUMMYFUNCTION("""COMPUTED_VALUE"""),0.5)</f>
        <v>0.5</v>
      </c>
      <c r="I21" s="2">
        <f>IFERROR(__xludf.DUMMYFUNCTION("""COMPUTED_VALUE"""),1.0)</f>
        <v>1</v>
      </c>
      <c r="J21" s="2">
        <f>IFERROR(__xludf.DUMMYFUNCTION("""COMPUTED_VALUE"""),0.0)</f>
        <v>0</v>
      </c>
      <c r="K21" s="2" t="str">
        <f>IFERROR(__xludf.DUMMYFUNCTION("""COMPUTED_VALUE"""),"5 – High-quality, Clean Bangla speech")</f>
        <v>5 – High-quality, Clean Bangla speech</v>
      </c>
      <c r="L21" s="2" t="str">
        <f>IFERROR(__xludf.DUMMYFUNCTION("""COMPUTED_VALUE"""),"No")</f>
        <v>No</v>
      </c>
    </row>
    <row r="22">
      <c r="A22" s="2" t="str">
        <f>IFERROR(__xludf.DUMMYFUNCTION("""COMPUTED_VALUE"""),"collect/spontaneous/YouTube/Bangladesh Open University (BOU)/9X3VAT-z3XQ/f57b12f9-fd46-4cb6-a36a-a61fbd7ba958.flac")</f>
        <v>collect/spontaneous/YouTube/Bangladesh Open University (BOU)/9X3VAT-z3XQ/f57b12f9-fd46-4cb6-a36a-a61fbd7ba958.flac</v>
      </c>
      <c r="B22" s="2">
        <f>IFERROR(__xludf.DUMMYFUNCTION("""COMPUTED_VALUE"""),30.0)</f>
        <v>30</v>
      </c>
      <c r="C22" s="2" t="str">
        <f>IFERROR(__xludf.DUMMYFUNCTION("""COMPUTED_VALUE"""),"মুখের মাংসপেশি প্যারালাইসিস হয়ে যায় তাদেরকে আমরা ফেসিয়াল পালসি বলে থাকি এখন আমাদের আজকের আলোচ্য ডাক্তার হাবীবুর রহমানের কাছে জানতে চাইব স্যার ফেসিয়াল পালসিটা কে এটা আপনি আমাদের দর্শকের উদ্দেশ্যে কিছু বলবেন ধন্যবাদ আপনাকে নাম শুনে আমরা বুঝতে পারছি ফেসিয়াল "&amp;"এবং আর্টি অংশ্য হচ্ছে পালসি ফেসিয়াল মানি হচ্ছে ফেস এবং পালসিমানি হচ্ছে প্যারালাইসিস সুতরাং ফেইসের কোনো মাংসপেশি যদি প্যারালাইসিস হয়ে যায় সেটিকে আমরা ফেসিয়াল পালসি বলি আমাদের মুখে সেভেন কেরেনিয়াফ")</f>
        <v>মুখের মাংসপেশি প্যারালাইসিস হয়ে যায় তাদেরকে আমরা ফেসিয়াল পালসি বলে থাকি এখন আমাদের আজকের আলোচ্য ডাক্তার হাবীবুর রহমানের কাছে জানতে চাইব স্যার ফেসিয়াল পালসিটা কে এটা আপনি আমাদের দর্শকের উদ্দেশ্যে কিছু বলবেন ধন্যবাদ আপনাকে নাম শুনে আমরা বুঝতে পারছি ফেসিয়াল এবং আর্টি অংশ্য হচ্ছে পালসি ফেসিয়াল মানি হচ্ছে ফেস এবং পালসিমানি হচ্ছে প্যারালাইসিস সুতরাং ফেইসের কোনো মাংসপেশি যদি প্যারালাইসিস হয়ে যায় সেটিকে আমরা ফেসিয়াল পালসি বলি আমাদের মুখে সেভেন কেরেনিয়াফ</v>
      </c>
      <c r="D22" s="2" t="str">
        <f>IFERROR(__xludf.DUMMYFUNCTION("""COMPUTED_VALUE"""),"No")</f>
        <v>No</v>
      </c>
      <c r="E22" s="2" t="str">
        <f>IFERROR(__xludf.DUMMYFUNCTION("""COMPUTED_VALUE"""),"No")</f>
        <v>No</v>
      </c>
      <c r="F22" s="2" t="str">
        <f>IFERROR(__xludf.DUMMYFUNCTION("""COMPUTED_VALUE"""),"Yes")</f>
        <v>Yes</v>
      </c>
      <c r="G22" s="2">
        <f>IFERROR(__xludf.DUMMYFUNCTION("""COMPUTED_VALUE"""),0.5)</f>
        <v>0.5</v>
      </c>
      <c r="H22" s="2">
        <f>IFERROR(__xludf.DUMMYFUNCTION("""COMPUTED_VALUE"""),0.5)</f>
        <v>0.5</v>
      </c>
      <c r="I22" s="2">
        <f>IFERROR(__xludf.DUMMYFUNCTION("""COMPUTED_VALUE"""),0.5)</f>
        <v>0.5</v>
      </c>
      <c r="J22" s="2">
        <f>IFERROR(__xludf.DUMMYFUNCTION("""COMPUTED_VALUE"""),0.5)</f>
        <v>0.5</v>
      </c>
      <c r="K22" s="2" t="str">
        <f>IFERROR(__xludf.DUMMYFUNCTION("""COMPUTED_VALUE"""),"5 – High-quality, Clean Bangla speech")</f>
        <v>5 – High-quality, Clean Bangla speech</v>
      </c>
      <c r="L22" s="2" t="str">
        <f>IFERROR(__xludf.DUMMYFUNCTION("""COMPUTED_VALUE"""),"Yes")</f>
        <v>Yes</v>
      </c>
    </row>
    <row r="23">
      <c r="A23" s="2" t="str">
        <f>IFERROR(__xludf.DUMMYFUNCTION("""COMPUTED_VALUE"""),"collect/spontaneous/YouTube/Bangladesh Open University (BOU)/9X3VAT-z3XQ/fb337aa6-3595-4ec4-82f1-0ce834bad213.flac")</f>
        <v>collect/spontaneous/YouTube/Bangladesh Open University (BOU)/9X3VAT-z3XQ/fb337aa6-3595-4ec4-82f1-0ce834bad213.flac</v>
      </c>
      <c r="B23" s="2">
        <f>IFERROR(__xludf.DUMMYFUNCTION("""COMPUTED_VALUE"""),30.0)</f>
        <v>30</v>
      </c>
      <c r="C23" s="2" t="str">
        <f>IFERROR(__xludf.DUMMYFUNCTION("""COMPUTED_VALUE"""),"আগে সক্ষমতা ফিরে পায় যেমন ট্রফিক স্ট্রিমুলেটর নামে একটি মেশিন আছে এটি ব্যবহার করা হয় তাছাড়া তাকে সবচেয়ে বেশি যে কাজটা করতে বলা হয় যে সে যদি আয়নার সামনে বসে যে ফেসিয়াল যে এক্সপ্রেশনগুলো আছে যেমন আমাদের মুখের যে অনুভূতিমুলো আছে যেমন আমরা রাগ করলে চেহারাটা ক"&amp;"িরকম করি কান্না করলে কী রকম করি আমরা যদি ভ্যুরো কুঁচখাই কী রকম করি আমরা হাসলে কী রকম করি এই ধরনের ফিসিয়াল এক্সপ্রেশন যদি সে আয়নার সামনে বসে রেগুলার প্র্যাকটিস করে আমরা বলেছি আগে তিন সপ্তাহ ডায়গলোসিস থেকে")</f>
        <v>আগে সক্ষমতা ফিরে পায় যেমন ট্রফিক স্ট্রিমুলেটর নামে একটি মেশিন আছে এটি ব্যবহার করা হয় তাছাড়া তাকে সবচেয়ে বেশি যে কাজটা করতে বলা হয় যে সে যদি আয়নার সামনে বসে যে ফেসিয়াল যে এক্সপ্রেশনগুলো আছে যেমন আমাদের মুখের যে অনুভূতিমুলো আছে যেমন আমরা রাগ করলে চেহারাটা কিরকম করি কান্না করলে কী রকম করি আমরা যদি ভ্যুরো কুঁচখাই কী রকম করি আমরা হাসলে কী রকম করি এই ধরনের ফিসিয়াল এক্সপ্রেশন যদি সে আয়নার সামনে বসে রেগুলার প্র্যাকটিস করে আমরা বলেছি আগে তিন সপ্তাহ ডায়গলোসিস থেকে</v>
      </c>
      <c r="D23" s="2" t="str">
        <f>IFERROR(__xludf.DUMMYFUNCTION("""COMPUTED_VALUE"""),"No")</f>
        <v>No</v>
      </c>
      <c r="E23" s="2" t="str">
        <f>IFERROR(__xludf.DUMMYFUNCTION("""COMPUTED_VALUE"""),"Yes")</f>
        <v>Yes</v>
      </c>
      <c r="F23" s="2" t="str">
        <f>IFERROR(__xludf.DUMMYFUNCTION("""COMPUTED_VALUE"""),"Yes")</f>
        <v>Yes</v>
      </c>
      <c r="G23" s="2">
        <f>IFERROR(__xludf.DUMMYFUNCTION("""COMPUTED_VALUE"""),0.0)</f>
        <v>0</v>
      </c>
      <c r="H23" s="2">
        <f>IFERROR(__xludf.DUMMYFUNCTION("""COMPUTED_VALUE"""),0.0)</f>
        <v>0</v>
      </c>
      <c r="I23" s="2">
        <f>IFERROR(__xludf.DUMMYFUNCTION("""COMPUTED_VALUE"""),1.0)</f>
        <v>1</v>
      </c>
      <c r="J23" s="2">
        <f>IFERROR(__xludf.DUMMYFUNCTION("""COMPUTED_VALUE"""),0.5)</f>
        <v>0.5</v>
      </c>
      <c r="K23" s="2" t="str">
        <f>IFERROR(__xludf.DUMMYFUNCTION("""COMPUTED_VALUE"""),"5 – High-quality, Clean Bangla speech")</f>
        <v>5 – High-quality, Clean Bangla speech</v>
      </c>
      <c r="L23" s="2" t="str">
        <f>IFERROR(__xludf.DUMMYFUNCTION("""COMPUTED_VALUE"""),"No")</f>
        <v>No</v>
      </c>
    </row>
    <row r="24">
      <c r="A24" s="2" t="str">
        <f>IFERROR(__xludf.DUMMYFUNCTION("""COMPUTED_VALUE"""),"collect/spontaneous/YouTube/Bangladesh Open University (BOU)/C8qJmp3630k/0675b20c-a867-42d1-affa-dd4cb72f5af1.flac")</f>
        <v>collect/spontaneous/YouTube/Bangladesh Open University (BOU)/C8qJmp3630k/0675b20c-a867-42d1-affa-dd4cb72f5af1.flac</v>
      </c>
      <c r="B24" s="2">
        <f>IFERROR(__xludf.DUMMYFUNCTION("""COMPUTED_VALUE"""),30.0)</f>
        <v>30</v>
      </c>
      <c r="C24" s="2" t="str">
        <f>IFERROR(__xludf.DUMMYFUNCTION("""COMPUTED_VALUE"""),"এ জন্য আমি আপনাদেরকে আহ্বান করবো যে আগামী দিনের পাউবি আপনারা কেমন দেখতে চান বা আমাদের প্রধানমন্ত্রীর রূপকল্প দুই হাজার একচল্লিশ সের সাথে আমরা যদি পার্টিসিপেট করতে চাই তাহলে বাউ উইকে আমরা কিভাবে তার সাথে আমরা কন্ট্রিবিউট")</f>
        <v>এ জন্য আমি আপনাদেরকে আহ্বান করবো যে আগামী দিনের পাউবি আপনারা কেমন দেখতে চান বা আমাদের প্রধানমন্ত্রীর রূপকল্প দুই হাজার একচল্লিশ সের সাথে আমরা যদি পার্টিসিপেট করতে চাই তাহলে বাউ উইকে আমরা কিভাবে তার সাথে আমরা কন্ট্রিবিউট</v>
      </c>
      <c r="D24" s="2" t="str">
        <f>IFERROR(__xludf.DUMMYFUNCTION("""COMPUTED_VALUE"""),"No")</f>
        <v>No</v>
      </c>
      <c r="E24" s="2" t="str">
        <f>IFERROR(__xludf.DUMMYFUNCTION("""COMPUTED_VALUE"""),"Yes")</f>
        <v>Yes</v>
      </c>
      <c r="F24" s="2" t="str">
        <f>IFERROR(__xludf.DUMMYFUNCTION("""COMPUTED_VALUE"""),"Yes")</f>
        <v>Yes</v>
      </c>
      <c r="G24" s="2">
        <f>IFERROR(__xludf.DUMMYFUNCTION("""COMPUTED_VALUE"""),0.5)</f>
        <v>0.5</v>
      </c>
      <c r="H24" s="2">
        <f>IFERROR(__xludf.DUMMYFUNCTION("""COMPUTED_VALUE"""),0.5)</f>
        <v>0.5</v>
      </c>
      <c r="I24" s="2">
        <f>IFERROR(__xludf.DUMMYFUNCTION("""COMPUTED_VALUE"""),1.0)</f>
        <v>1</v>
      </c>
      <c r="J24" s="2">
        <f>IFERROR(__xludf.DUMMYFUNCTION("""COMPUTED_VALUE"""),0.5)</f>
        <v>0.5</v>
      </c>
      <c r="K24" s="2" t="str">
        <f>IFERROR(__xludf.DUMMYFUNCTION("""COMPUTED_VALUE"""),"2 - Poor quality Noisy, unclear,")</f>
        <v>2 - Poor quality Noisy, unclear,</v>
      </c>
      <c r="L24" s="2" t="str">
        <f>IFERROR(__xludf.DUMMYFUNCTION("""COMPUTED_VALUE"""),"No")</f>
        <v>No</v>
      </c>
    </row>
    <row r="25">
      <c r="A25" s="2" t="str">
        <f>IFERROR(__xludf.DUMMYFUNCTION("""COMPUTED_VALUE"""),"collect/spontaneous/YouTube/Bangladesh Open University (BOU)/C8qJmp3630k/0769c109-73f2-4494-bfa0-34ce557315f9.flac")</f>
        <v>collect/spontaneous/YouTube/Bangladesh Open University (BOU)/C8qJmp3630k/0769c109-73f2-4494-bfa0-34ce557315f9.flac</v>
      </c>
      <c r="B25" s="2">
        <f>IFERROR(__xludf.DUMMYFUNCTION("""COMPUTED_VALUE"""),30.0)</f>
        <v>30</v>
      </c>
      <c r="C25" s="2" t="str">
        <f>IFERROR(__xludf.DUMMYFUNCTION("""COMPUTED_VALUE"""),"এানে অনবেজ এখন ইউজার ফেনলি গ্রাফিক্যাল ইন্টারফেসে কম্পিউটার চলছে এই যে স্মার্টফোন কত ইউজার ফ্যানালি কিন্তু এটা কিভাবে আসলো সেই জিনিসগুলো তো শিখতে হবে তাহলে আপনি ভিতরের জিনিসটা বুঝতে সক্ষম হবে তো সেই জিনিসটা মিডিয়াতে আমাদের এত সুন্দর আকার রয়েছে যেখানে আমরা")</f>
        <v>এানে অনবেজ এখন ইউজার ফেনলি গ্রাফিক্যাল ইন্টারফেসে কম্পিউটার চলছে এই যে স্মার্টফোন কত ইউজার ফ্যানালি কিন্তু এটা কিভাবে আসলো সেই জিনিসগুলো তো শিখতে হবে তাহলে আপনি ভিতরের জিনিসটা বুঝতে সক্ষম হবে তো সেই জিনিসটা মিডিয়াতে আমাদের এত সুন্দর আকার রয়েছে যেখানে আমরা</v>
      </c>
      <c r="D25" s="2" t="str">
        <f>IFERROR(__xludf.DUMMYFUNCTION("""COMPUTED_VALUE"""),"No")</f>
        <v>No</v>
      </c>
      <c r="E25" s="2" t="str">
        <f>IFERROR(__xludf.DUMMYFUNCTION("""COMPUTED_VALUE"""),"Yes")</f>
        <v>Yes</v>
      </c>
      <c r="F25" s="2" t="str">
        <f>IFERROR(__xludf.DUMMYFUNCTION("""COMPUTED_VALUE"""),"Yes")</f>
        <v>Yes</v>
      </c>
      <c r="G25" s="2">
        <f>IFERROR(__xludf.DUMMYFUNCTION("""COMPUTED_VALUE"""),0.0)</f>
        <v>0</v>
      </c>
      <c r="H25" s="2">
        <f>IFERROR(__xludf.DUMMYFUNCTION("""COMPUTED_VALUE"""),0.0)</f>
        <v>0</v>
      </c>
      <c r="I25" s="2">
        <f>IFERROR(__xludf.DUMMYFUNCTION("""COMPUTED_VALUE"""),0.0)</f>
        <v>0</v>
      </c>
      <c r="J25" s="2">
        <f>IFERROR(__xludf.DUMMYFUNCTION("""COMPUTED_VALUE"""),0.0)</f>
        <v>0</v>
      </c>
      <c r="K25" s="2" t="str">
        <f>IFERROR(__xludf.DUMMYFUNCTION("""COMPUTED_VALUE"""),"2 - Poor quality Noisy, unclear,")</f>
        <v>2 - Poor quality Noisy, unclear,</v>
      </c>
      <c r="L25" s="2" t="str">
        <f>IFERROR(__xludf.DUMMYFUNCTION("""COMPUTED_VALUE"""),"No")</f>
        <v>No</v>
      </c>
    </row>
    <row r="26">
      <c r="A26" s="2" t="str">
        <f>IFERROR(__xludf.DUMMYFUNCTION("""COMPUTED_VALUE"""),"collect/spontaneous/YouTube/Bangladesh Open University (BOU)/C8qJmp3630k/0e499e8c-bb52-457b-ad9b-5a4ae494b8ce.flac")</f>
        <v>collect/spontaneous/YouTube/Bangladesh Open University (BOU)/C8qJmp3630k/0e499e8c-bb52-457b-ad9b-5a4ae494b8ce.flac</v>
      </c>
      <c r="B26" s="2">
        <f>IFERROR(__xludf.DUMMYFUNCTION("""COMPUTED_VALUE"""),30.0)</f>
        <v>30</v>
      </c>
      <c r="C26" s="2" t="str">
        <f>IFERROR(__xludf.DUMMYFUNCTION("""COMPUTED_VALUE"""),"থাকবে তারা দেখলাম যে ঠিকমতো সেই জবাবটা দিচ্ছেন না তবে আমি বুঝতে পারলাম জেটা হচ্ছে ফিজিক্যাল মাস্টার প্লান তখন আমি বললাম যে আমার একাডেমিক প্রোগ্রাম সামনে কী রয়েছে আমার দেশের যারা েসট চালাচ্ছে দেশকে সামনের দিকে উন্নয়নের ধারায় জানা নিয়ে যাবেন")</f>
        <v>থাকবে তারা দেখলাম যে ঠিকমতো সেই জবাবটা দিচ্ছেন না তবে আমি বুঝতে পারলাম জেটা হচ্ছে ফিজিক্যাল মাস্টার প্লান তখন আমি বললাম যে আমার একাডেমিক প্রোগ্রাম সামনে কী রয়েছে আমার দেশের যারা েসট চালাচ্ছে দেশকে সামনের দিকে উন্নয়নের ধারায় জানা নিয়ে যাবেন</v>
      </c>
      <c r="D26" s="2" t="str">
        <f>IFERROR(__xludf.DUMMYFUNCTION("""COMPUTED_VALUE"""),"No")</f>
        <v>No</v>
      </c>
      <c r="E26" s="2" t="str">
        <f>IFERROR(__xludf.DUMMYFUNCTION("""COMPUTED_VALUE"""),"Yes")</f>
        <v>Yes</v>
      </c>
      <c r="F26" s="2" t="str">
        <f>IFERROR(__xludf.DUMMYFUNCTION("""COMPUTED_VALUE"""),"Yes")</f>
        <v>Yes</v>
      </c>
      <c r="G26" s="2">
        <f>IFERROR(__xludf.DUMMYFUNCTION("""COMPUTED_VALUE"""),0.0)</f>
        <v>0</v>
      </c>
      <c r="H26" s="2">
        <f>IFERROR(__xludf.DUMMYFUNCTION("""COMPUTED_VALUE"""),0.5)</f>
        <v>0.5</v>
      </c>
      <c r="I26" s="2">
        <f>IFERROR(__xludf.DUMMYFUNCTION("""COMPUTED_VALUE"""),1.0)</f>
        <v>1</v>
      </c>
      <c r="J26" s="2">
        <f>IFERROR(__xludf.DUMMYFUNCTION("""COMPUTED_VALUE"""),0.5)</f>
        <v>0.5</v>
      </c>
      <c r="K26" s="2" t="str">
        <f>IFERROR(__xludf.DUMMYFUNCTION("""COMPUTED_VALUE"""),"3 – Mixed language or inconsistent quality")</f>
        <v>3 – Mixed language or inconsistent quality</v>
      </c>
      <c r="L26" s="2" t="str">
        <f>IFERROR(__xludf.DUMMYFUNCTION("""COMPUTED_VALUE"""),"No")</f>
        <v>No</v>
      </c>
    </row>
    <row r="27">
      <c r="A27" s="2" t="str">
        <f>IFERROR(__xludf.DUMMYFUNCTION("""COMPUTED_VALUE"""),"collect/spontaneous/YouTube/Bangladesh Open University (BOU)/C8qJmp3630k/1373cc87-7903-4472-bd26-13be4ec2a036.flac")</f>
        <v>collect/spontaneous/YouTube/Bangladesh Open University (BOU)/C8qJmp3630k/1373cc87-7903-4472-bd26-13be4ec2a036.flac</v>
      </c>
      <c r="B27" s="2">
        <f>IFERROR(__xludf.DUMMYFUNCTION("""COMPUTED_VALUE"""),30.0)</f>
        <v>30</v>
      </c>
      <c r="C27" s="2" t="str">
        <f>IFERROR(__xludf.DUMMYFUNCTION("""COMPUTED_VALUE"""),"হাইস্কের কম দরকার কোন প্রোগামের স্টুডেন্সাইজ ক হবে এবং সেটার জন্ ক্াস রুমে সাইজ কহবে সটা পরে আসছে আমার এমি ক তরোনা যখন ক্লাস রুমে যাই যখন ছাত্র ছিলাম বা এখন যখন শিক্ষক হয়ে যখন ক্লাসরুমে যাই দেখি যে আমার ছাত্র সংখ্যা এত ক্লাস রুমের সাইজ হচ্ছে এইটুকু এই জন্"&amp;"য ছাত্র")</f>
        <v>হাইস্কের কম দরকার কোন প্রোগামের স্টুডেন্সাইজ ক হবে এবং সেটার জন্ ক্াস রুমে সাইজ কহবে সটা পরে আসছে আমার এমি ক তরোনা যখন ক্লাস রুমে যাই যখন ছাত্র ছিলাম বা এখন যখন শিক্ষক হয়ে যখন ক্লাসরুমে যাই দেখি যে আমার ছাত্র সংখ্যা এত ক্লাস রুমের সাইজ হচ্ছে এইটুকু এই জন্য ছাত্র</v>
      </c>
      <c r="D27" s="2" t="str">
        <f>IFERROR(__xludf.DUMMYFUNCTION("""COMPUTED_VALUE"""),"No")</f>
        <v>No</v>
      </c>
      <c r="E27" s="2" t="str">
        <f>IFERROR(__xludf.DUMMYFUNCTION("""COMPUTED_VALUE"""),"Yes")</f>
        <v>Yes</v>
      </c>
      <c r="F27" s="2" t="str">
        <f>IFERROR(__xludf.DUMMYFUNCTION("""COMPUTED_VALUE"""),"Yes")</f>
        <v>Yes</v>
      </c>
      <c r="G27" s="2">
        <f>IFERROR(__xludf.DUMMYFUNCTION("""COMPUTED_VALUE"""),0.0)</f>
        <v>0</v>
      </c>
      <c r="H27" s="2">
        <f>IFERROR(__xludf.DUMMYFUNCTION("""COMPUTED_VALUE"""),0.5)</f>
        <v>0.5</v>
      </c>
      <c r="I27" s="2">
        <f>IFERROR(__xludf.DUMMYFUNCTION("""COMPUTED_VALUE"""),1.0)</f>
        <v>1</v>
      </c>
      <c r="J27" s="2">
        <f>IFERROR(__xludf.DUMMYFUNCTION("""COMPUTED_VALUE"""),0.0)</f>
        <v>0</v>
      </c>
      <c r="K27" s="2" t="str">
        <f>IFERROR(__xludf.DUMMYFUNCTION("""COMPUTED_VALUE"""),"3 – Mixed language or inconsistent quality")</f>
        <v>3 – Mixed language or inconsistent quality</v>
      </c>
      <c r="L27" s="2" t="str">
        <f>IFERROR(__xludf.DUMMYFUNCTION("""COMPUTED_VALUE"""),"No")</f>
        <v>No</v>
      </c>
    </row>
    <row r="28">
      <c r="A28" s="2" t="str">
        <f>IFERROR(__xludf.DUMMYFUNCTION("""COMPUTED_VALUE"""),"collect/spontaneous/YouTube/Bangladesh Open University (BOU)/C8qJmp3630k/1373cc87-7903-4472-bd26-13be4ec2a036.flac")</f>
        <v>collect/spontaneous/YouTube/Bangladesh Open University (BOU)/C8qJmp3630k/1373cc87-7903-4472-bd26-13be4ec2a036.flac</v>
      </c>
      <c r="B28" s="2">
        <f>IFERROR(__xludf.DUMMYFUNCTION("""COMPUTED_VALUE"""),30.0)</f>
        <v>30</v>
      </c>
      <c r="C28" s="2" t="str">
        <f>IFERROR(__xludf.DUMMYFUNCTION("""COMPUTED_VALUE"""),"হাইস্কের কম দরকার কোন প্রোগামের স্টুডেন্সাইজ ক হবে এবং সেটার জন্ ক্াস রুমে সাইজ কহবে সটা পরে আসছে আমার এমি ক তরোনা যখন ক্লাস রুমে যাই যখন ছাত্র ছিলাম বা এখন যখন শিক্ষক হয়ে যখন ক্লাসরুমে যাই দেখি যে আমার ছাত্র সংখ্যা এত ক্লাস রুমের সাইজ হচ্ছে এইটুকু এই জন্"&amp;"য ছাত্র")</f>
        <v>হাইস্কের কম দরকার কোন প্রোগামের স্টুডেন্সাইজ ক হবে এবং সেটার জন্ ক্াস রুমে সাইজ কহবে সটা পরে আসছে আমার এমি ক তরোনা যখন ক্লাস রুমে যাই যখন ছাত্র ছিলাম বা এখন যখন শিক্ষক হয়ে যখন ক্লাসরুমে যাই দেখি যে আমার ছাত্র সংখ্যা এত ক্লাস রুমের সাইজ হচ্ছে এইটুকু এই জন্য ছাত্র</v>
      </c>
      <c r="D28" s="2" t="str">
        <f>IFERROR(__xludf.DUMMYFUNCTION("""COMPUTED_VALUE"""),"No")</f>
        <v>No</v>
      </c>
      <c r="E28" s="2" t="str">
        <f>IFERROR(__xludf.DUMMYFUNCTION("""COMPUTED_VALUE"""),"Yes")</f>
        <v>Yes</v>
      </c>
      <c r="F28" s="2" t="str">
        <f>IFERROR(__xludf.DUMMYFUNCTION("""COMPUTED_VALUE"""),"Yes")</f>
        <v>Yes</v>
      </c>
      <c r="G28" s="2">
        <f>IFERROR(__xludf.DUMMYFUNCTION("""COMPUTED_VALUE"""),0.0)</f>
        <v>0</v>
      </c>
      <c r="H28" s="2">
        <f>IFERROR(__xludf.DUMMYFUNCTION("""COMPUTED_VALUE"""),0.5)</f>
        <v>0.5</v>
      </c>
      <c r="I28" s="2">
        <f>IFERROR(__xludf.DUMMYFUNCTION("""COMPUTED_VALUE"""),1.0)</f>
        <v>1</v>
      </c>
      <c r="J28" s="2">
        <f>IFERROR(__xludf.DUMMYFUNCTION("""COMPUTED_VALUE"""),0.0)</f>
        <v>0</v>
      </c>
      <c r="K28" s="2" t="str">
        <f>IFERROR(__xludf.DUMMYFUNCTION("""COMPUTED_VALUE"""),"3 – Mixed language or inconsistent quality")</f>
        <v>3 – Mixed language or inconsistent quality</v>
      </c>
      <c r="L28" s="2" t="str">
        <f>IFERROR(__xludf.DUMMYFUNCTION("""COMPUTED_VALUE"""),"No")</f>
        <v>No</v>
      </c>
    </row>
    <row r="29">
      <c r="A29" s="2" t="str">
        <f>IFERROR(__xludf.DUMMYFUNCTION("""COMPUTED_VALUE"""),"collect/spontaneous/YouTube/Bangladesh Open University (BOU)/C8qJmp3630k/1b518d0e-8136-4916-a7c2-f3392666c499.flac")</f>
        <v>collect/spontaneous/YouTube/Bangladesh Open University (BOU)/C8qJmp3630k/1b518d0e-8136-4916-a7c2-f3392666c499.flac</v>
      </c>
      <c r="B29" s="2">
        <f>IFERROR(__xludf.DUMMYFUNCTION("""COMPUTED_VALUE"""),30.0)</f>
        <v>30</v>
      </c>
      <c r="C29" s="2" t="str">
        <f>IFERROR(__xludf.DUMMYFUNCTION("""COMPUTED_VALUE"""),"তো সবসময় আমার সাথে যে ঐ সময়ে প্রশাসনের আপনারা যারা ছিলেন আপনারা যারা শিক্ষক ছিলেন শিক্ষক কর্মকর্তা ছিলেন যারা বিভিন্ন ডিভিশনের যারা কর্মকর্তা ছিলেন তারা যেভাবে আমাকে সহযোগিতা করেছেন স্কেকটা দিন আমার পাশে থেকেছেন আমাকে সাহস জোগিয়েছে")</f>
        <v>তো সবসময় আমার সাথে যে ঐ সময়ে প্রশাসনের আপনারা যারা ছিলেন আপনারা যারা শিক্ষক ছিলেন শিক্ষক কর্মকর্তা ছিলেন যারা বিভিন্ন ডিভিশনের যারা কর্মকর্তা ছিলেন তারা যেভাবে আমাকে সহযোগিতা করেছেন স্কেকটা দিন আমার পাশে থেকেছেন আমাকে সাহস জোগিয়েছে</v>
      </c>
      <c r="D29" s="2" t="str">
        <f>IFERROR(__xludf.DUMMYFUNCTION("""COMPUTED_VALUE"""),"No")</f>
        <v>No</v>
      </c>
      <c r="E29" s="2" t="str">
        <f>IFERROR(__xludf.DUMMYFUNCTION("""COMPUTED_VALUE"""),"Yes")</f>
        <v>Yes</v>
      </c>
      <c r="F29" s="2" t="str">
        <f>IFERROR(__xludf.DUMMYFUNCTION("""COMPUTED_VALUE"""),"Yes")</f>
        <v>Yes</v>
      </c>
      <c r="G29" s="2">
        <f>IFERROR(__xludf.DUMMYFUNCTION("""COMPUTED_VALUE"""),0.5)</f>
        <v>0.5</v>
      </c>
      <c r="H29" s="2">
        <f>IFERROR(__xludf.DUMMYFUNCTION("""COMPUTED_VALUE"""),0.5)</f>
        <v>0.5</v>
      </c>
      <c r="I29" s="2">
        <f>IFERROR(__xludf.DUMMYFUNCTION("""COMPUTED_VALUE"""),0.5)</f>
        <v>0.5</v>
      </c>
      <c r="J29" s="2">
        <f>IFERROR(__xludf.DUMMYFUNCTION("""COMPUTED_VALUE"""),0.0)</f>
        <v>0</v>
      </c>
      <c r="K29" s="2" t="str">
        <f>IFERROR(__xludf.DUMMYFUNCTION("""COMPUTED_VALUE"""),"4– Usable, minor flaws Minor background noise.")</f>
        <v>4– Usable, minor flaws Minor background noise.</v>
      </c>
      <c r="L29" s="2" t="str">
        <f>IFERROR(__xludf.DUMMYFUNCTION("""COMPUTED_VALUE"""),"No")</f>
        <v>No</v>
      </c>
    </row>
    <row r="30">
      <c r="A30" s="2" t="str">
        <f>IFERROR(__xludf.DUMMYFUNCTION("""COMPUTED_VALUE"""),"collect/spontaneous/YouTube/Bangladesh Open University (BOU)/C8qJmp3630k/224d090d-32a6-4aea-96fa-c1c6e7421460.flac")</f>
        <v>collect/spontaneous/YouTube/Bangladesh Open University (BOU)/C8qJmp3630k/224d090d-32a6-4aea-96fa-c1c6e7421460.flac</v>
      </c>
      <c r="B30" s="2">
        <f>IFERROR(__xludf.DUMMYFUNCTION("""COMPUTED_VALUE"""),30.0)</f>
        <v>30</v>
      </c>
      <c r="C30" s="2" t="str">
        <f>IFERROR(__xludf.DUMMYFUNCTION("""COMPUTED_VALUE"""),"টাার্মিনাল জি এখানে শুনছি সব কিছুই আমার কাছিন নতুন মনে হচ্ছে তখন মনে হলো যে আমি যখন উনিশশ আশি সালে আইটি খড়গপুরে উচ্চশিক্ষার জন্য গেলাম ওখানে একটা বিরাট সেকশন সাউথ ইন্ডিয়ান তাদের নাম যখন বলে আমি আর তাদের নাম মনে রাখতে পারতাম না এবং সেখানে যখন বাঙালিদের নাম"&amp;" সেটাও তো আমার জানা কিন্তু")</f>
        <v>টাার্মিনাল জি এখানে শুনছি সব কিছুই আমার কাছিন নতুন মনে হচ্ছে তখন মনে হলো যে আমি যখন উনিশশ আশি সালে আইটি খড়গপুরে উচ্চশিক্ষার জন্য গেলাম ওখানে একটা বিরাট সেকশন সাউথ ইন্ডিয়ান তাদের নাম যখন বলে আমি আর তাদের নাম মনে রাখতে পারতাম না এবং সেখানে যখন বাঙালিদের নাম সেটাও তো আমার জানা কিন্তু</v>
      </c>
      <c r="D30" s="2" t="str">
        <f>IFERROR(__xludf.DUMMYFUNCTION("""COMPUTED_VALUE"""),"No")</f>
        <v>No</v>
      </c>
      <c r="E30" s="2" t="str">
        <f>IFERROR(__xludf.DUMMYFUNCTION("""COMPUTED_VALUE"""),"No")</f>
        <v>No</v>
      </c>
      <c r="F30" s="2" t="str">
        <f>IFERROR(__xludf.DUMMYFUNCTION("""COMPUTED_VALUE"""),"Yes")</f>
        <v>Yes</v>
      </c>
      <c r="G30" s="2">
        <f>IFERROR(__xludf.DUMMYFUNCTION("""COMPUTED_VALUE"""),0.5)</f>
        <v>0.5</v>
      </c>
      <c r="H30" s="2">
        <f>IFERROR(__xludf.DUMMYFUNCTION("""COMPUTED_VALUE"""),1.0)</f>
        <v>1</v>
      </c>
      <c r="I30" s="2">
        <f>IFERROR(__xludf.DUMMYFUNCTION("""COMPUTED_VALUE"""),0.0)</f>
        <v>0</v>
      </c>
      <c r="J30" s="2">
        <f>IFERROR(__xludf.DUMMYFUNCTION("""COMPUTED_VALUE"""),0.0)</f>
        <v>0</v>
      </c>
      <c r="K30" s="2" t="str">
        <f>IFERROR(__xludf.DUMMYFUNCTION("""COMPUTED_VALUE"""),"3 – Mixed language or inconsistent quality")</f>
        <v>3 – Mixed language or inconsistent quality</v>
      </c>
      <c r="L30" s="2" t="str">
        <f>IFERROR(__xludf.DUMMYFUNCTION("""COMPUTED_VALUE"""),"No")</f>
        <v>No</v>
      </c>
    </row>
    <row r="31">
      <c r="A31" s="2" t="str">
        <f>IFERROR(__xludf.DUMMYFUNCTION("""COMPUTED_VALUE"""),"collect/spontaneous/YouTube/Bangladesh Open University (BOU)/C8qJmp3630k/22f88149-bed6-4e19-96c6-bdc575e7e973.flac")</f>
        <v>collect/spontaneous/YouTube/Bangladesh Open University (BOU)/C8qJmp3630k/22f88149-bed6-4e19-96c6-bdc575e7e973.flac</v>
      </c>
      <c r="B31" s="2">
        <f>IFERROR(__xludf.DUMMYFUNCTION("""COMPUTED_VALUE"""),30.0)</f>
        <v>30</v>
      </c>
      <c r="C31" s="2" t="str">
        <f>IFERROR(__xludf.DUMMYFUNCTION("""COMPUTED_VALUE"""),"যেহেতু সাউথ ইন্ডিয়ান কিছু নর্থ ইন্ডিয়ান পিপলের সাথে বন্ধুত্ব নাম যখন বলে সেগুলো যখন আমি শিত আস্তে আস্তে বাঙামিদের নাম আমি ভুলে যেতে শুরু করো এরকম আমার অবস্থা হয়েছিল তো আমি তখন দেখলাম যে ওইরকম অবস্থা আমার এখানে ওপিনিভার্সিটি আসার পর ওরকম একটা অবস্থা র আমি "&amp;"স্বীকার হলাম কিন্তু ওই সময়ে সেজন্যই আমি সবসময় নিজেকে এত সৌভাগ্যবান মনে করি জীবনের প্রত্যেকটা ক্ষেত্রে")</f>
        <v>যেহেতু সাউথ ইন্ডিয়ান কিছু নর্থ ইন্ডিয়ান পিপলের সাথে বন্ধুত্ব নাম যখন বলে সেগুলো যখন আমি শিত আস্তে আস্তে বাঙামিদের নাম আমি ভুলে যেতে শুরু করো এরকম আমার অবস্থা হয়েছিল তো আমি তখন দেখলাম যে ওইরকম অবস্থা আমার এখানে ওপিনিভার্সিটি আসার পর ওরকম একটা অবস্থা র আমি স্বীকার হলাম কিন্তু ওই সময়ে সেজন্যই আমি সবসময় নিজেকে এত সৌভাগ্যবান মনে করি জীবনের প্রত্যেকটা ক্ষেত্রে</v>
      </c>
      <c r="D31" s="2" t="str">
        <f>IFERROR(__xludf.DUMMYFUNCTION("""COMPUTED_VALUE"""),"No")</f>
        <v>No</v>
      </c>
      <c r="E31" s="2" t="str">
        <f>IFERROR(__xludf.DUMMYFUNCTION("""COMPUTED_VALUE"""),"Yes")</f>
        <v>Yes</v>
      </c>
      <c r="F31" s="2" t="str">
        <f>IFERROR(__xludf.DUMMYFUNCTION("""COMPUTED_VALUE"""),"Yes")</f>
        <v>Yes</v>
      </c>
      <c r="G31" s="2">
        <f>IFERROR(__xludf.DUMMYFUNCTION("""COMPUTED_VALUE"""),0.5)</f>
        <v>0.5</v>
      </c>
      <c r="H31" s="2">
        <f>IFERROR(__xludf.DUMMYFUNCTION("""COMPUTED_VALUE"""),0.5)</f>
        <v>0.5</v>
      </c>
      <c r="I31" s="2">
        <f>IFERROR(__xludf.DUMMYFUNCTION("""COMPUTED_VALUE"""),0.5)</f>
        <v>0.5</v>
      </c>
      <c r="J31" s="2">
        <f>IFERROR(__xludf.DUMMYFUNCTION("""COMPUTED_VALUE"""),0.0)</f>
        <v>0</v>
      </c>
      <c r="K31" s="2" t="str">
        <f>IFERROR(__xludf.DUMMYFUNCTION("""COMPUTED_VALUE"""),"4– Usable, minor flaws Minor background noise.")</f>
        <v>4– Usable, minor flaws Minor background noise.</v>
      </c>
      <c r="L31" s="2" t="str">
        <f>IFERROR(__xludf.DUMMYFUNCTION("""COMPUTED_VALUE"""),"No")</f>
        <v>No</v>
      </c>
    </row>
    <row r="32">
      <c r="A32" s="2" t="str">
        <f>IFERROR(__xludf.DUMMYFUNCTION("""COMPUTED_VALUE"""),"collect/spontaneous/YouTube/Bangladesh Open University (BOU)/C8qJmp3630k/29d68730-f22e-4354-aeb9-c2d868cc012d.flac")</f>
        <v>collect/spontaneous/YouTube/Bangladesh Open University (BOU)/C8qJmp3630k/29d68730-f22e-4354-aeb9-c2d868cc012d.flac</v>
      </c>
      <c r="B32" s="2">
        <f>IFERROR(__xludf.DUMMYFUNCTION("""COMPUTED_VALUE"""),30.0)</f>
        <v>30</v>
      </c>
      <c r="C32" s="2" t="str">
        <f>IFERROR(__xludf.DUMMYFUNCTION("""COMPUTED_VALUE"""),"জিটারণ আনতে তালে আমাদের ইটাকে আধুনিকায়ন করতে হবে কিন্তু ওই যে ইক্যুপমেন্টগুলা যেগুলার রয়েছে এগুলা দিয়ে একটা মিউজিয়াম করতে হবে যেটা আমি প্রথম ভিজিটাই আমি কিন্তু ওখানে যিনি পরিচালক ছিলেন তাকে কিন্তু আমি বলেছি নিচের কটা রুমাছ বিরাট বড় ভাঙা চিয়ার টেবিল দিয়ে ভ"&amp;"রা আমি ছি এটা কী জিনিস")</f>
        <v>জিটারণ আনতে তালে আমাদের ইটাকে আধুনিকায়ন করতে হবে কিন্তু ওই যে ইক্যুপমেন্টগুলা যেগুলার রয়েছে এগুলা দিয়ে একটা মিউজিয়াম করতে হবে যেটা আমি প্রথম ভিজিটাই আমি কিন্তু ওখানে যিনি পরিচালক ছিলেন তাকে কিন্তু আমি বলেছি নিচের কটা রুমাছ বিরাট বড় ভাঙা চিয়ার টেবিল দিয়ে ভরা আমি ছি এটা কী জিনিস</v>
      </c>
      <c r="D32" s="2" t="str">
        <f>IFERROR(__xludf.DUMMYFUNCTION("""COMPUTED_VALUE"""),"Yes")</f>
        <v>Yes</v>
      </c>
      <c r="E32" s="2" t="str">
        <f>IFERROR(__xludf.DUMMYFUNCTION("""COMPUTED_VALUE"""),"No")</f>
        <v>No</v>
      </c>
      <c r="F32" s="2" t="str">
        <f>IFERROR(__xludf.DUMMYFUNCTION("""COMPUTED_VALUE"""),"Yes")</f>
        <v>Yes</v>
      </c>
      <c r="G32" s="2">
        <f>IFERROR(__xludf.DUMMYFUNCTION("""COMPUTED_VALUE"""),0.5)</f>
        <v>0.5</v>
      </c>
      <c r="H32" s="2">
        <f>IFERROR(__xludf.DUMMYFUNCTION("""COMPUTED_VALUE"""),0.5)</f>
        <v>0.5</v>
      </c>
      <c r="I32" s="2">
        <f>IFERROR(__xludf.DUMMYFUNCTION("""COMPUTED_VALUE"""),0.5)</f>
        <v>0.5</v>
      </c>
      <c r="J32" s="2">
        <f>IFERROR(__xludf.DUMMYFUNCTION("""COMPUTED_VALUE"""),0.5)</f>
        <v>0.5</v>
      </c>
      <c r="K32" s="2" t="str">
        <f>IFERROR(__xludf.DUMMYFUNCTION("""COMPUTED_VALUE"""),"4– Usable, minor flaws Minor background noise.")</f>
        <v>4– Usable, minor flaws Minor background noise.</v>
      </c>
      <c r="L32" s="2" t="str">
        <f>IFERROR(__xludf.DUMMYFUNCTION("""COMPUTED_VALUE"""),"No")</f>
        <v>No</v>
      </c>
    </row>
    <row r="33">
      <c r="A33" s="2" t="str">
        <f>IFERROR(__xludf.DUMMYFUNCTION("""COMPUTED_VALUE"""),"collect/spontaneous/YouTube/Bangladesh Open University (BOU)/C8qJmp3630k/2cf9c579-4c7e-4440-a2ee-f75fa612220b.flac")</f>
        <v>collect/spontaneous/YouTube/Bangladesh Open University (BOU)/C8qJmp3630k/2cf9c579-4c7e-4440-a2ee-f75fa612220b.flac</v>
      </c>
      <c r="B33" s="2">
        <f>IFERROR(__xludf.DUMMYFUNCTION("""COMPUTED_VALUE"""),30.0)</f>
        <v>30</v>
      </c>
      <c r="C33" s="2" t="str">
        <f>IFERROR(__xludf.DUMMYFUNCTION("""COMPUTED_VALUE"""),"কেটে হয়তো এতটা দিবে যার ফলে ইউজিসিতে ওটা বলা হয়েছে যেন এটাত হয় নাই তবে তারা আমাদেরকে একটা সুযোগ দিয়েছে যে না এটাকে রিভাইস করে দেন তো সেটাও চলছে তো সেটা একাডেমিক মাস্টার প্লান এবং অর্গানোগ্রাম পাশাপাশি এই কাজটা চলছে তো সেটা হবে এবং আরেকটা যে জিনিসটার উপর আ"&amp;"মি গুরুত্ব")</f>
        <v>কেটে হয়তো এতটা দিবে যার ফলে ইউজিসিতে ওটা বলা হয়েছে যেন এটাত হয় নাই তবে তারা আমাদেরকে একটা সুযোগ দিয়েছে যে না এটাকে রিভাইস করে দেন তো সেটাও চলছে তো সেটা একাডেমিক মাস্টার প্লান এবং অর্গানোগ্রাম পাশাপাশি এই কাজটা চলছে তো সেটা হবে এবং আরেকটা যে জিনিসটার উপর আমি গুরুত্ব</v>
      </c>
      <c r="D33" s="2" t="str">
        <f>IFERROR(__xludf.DUMMYFUNCTION("""COMPUTED_VALUE"""),"Yes")</f>
        <v>Yes</v>
      </c>
      <c r="E33" s="2" t="str">
        <f>IFERROR(__xludf.DUMMYFUNCTION("""COMPUTED_VALUE"""),"No")</f>
        <v>No</v>
      </c>
      <c r="F33" s="2" t="str">
        <f>IFERROR(__xludf.DUMMYFUNCTION("""COMPUTED_VALUE"""),"No")</f>
        <v>No</v>
      </c>
      <c r="G33" s="2">
        <f>IFERROR(__xludf.DUMMYFUNCTION("""COMPUTED_VALUE"""),1.0)</f>
        <v>1</v>
      </c>
      <c r="H33" s="2">
        <f>IFERROR(__xludf.DUMMYFUNCTION("""COMPUTED_VALUE"""),1.0)</f>
        <v>1</v>
      </c>
      <c r="I33" s="2">
        <f>IFERROR(__xludf.DUMMYFUNCTION("""COMPUTED_VALUE"""),1.0)</f>
        <v>1</v>
      </c>
      <c r="J33" s="2">
        <f>IFERROR(__xludf.DUMMYFUNCTION("""COMPUTED_VALUE"""),0.0)</f>
        <v>0</v>
      </c>
      <c r="K33" s="2" t="str">
        <f>IFERROR(__xludf.DUMMYFUNCTION("""COMPUTED_VALUE"""),"4– Usable, minor flaws Minor background noise.")</f>
        <v>4– Usable, minor flaws Minor background noise.</v>
      </c>
      <c r="L33" s="2" t="str">
        <f>IFERROR(__xludf.DUMMYFUNCTION("""COMPUTED_VALUE"""),"No")</f>
        <v>No</v>
      </c>
    </row>
    <row r="34">
      <c r="A34" s="2" t="str">
        <f>IFERROR(__xludf.DUMMYFUNCTION("""COMPUTED_VALUE"""),"collect/spontaneous/YouTube/Bangladesh Open University (BOU)/C8qJmp3630k/43388475-791b-4403-9e11-a1f673693f7a.flac")</f>
        <v>collect/spontaneous/YouTube/Bangladesh Open University (BOU)/C8qJmp3630k/43388475-791b-4403-9e11-a1f673693f7a.flac</v>
      </c>
      <c r="B34" s="2">
        <f>IFERROR(__xludf.DUMMYFUNCTION("""COMPUTED_VALUE"""),30.0)</f>
        <v>30</v>
      </c>
      <c r="C34" s="2" t="str">
        <f>IFERROR(__xludf.DUMMYFUNCTION("""COMPUTED_VALUE"""),"অনেকে বলে যে এতগুণ এত হাজার কোটি টাকা সেই ব্রহ্মপুত্র নদী ভূপমেন্ট হাজার ওইটার ওখানকার সয়াল কন্ডিশন একরকম আমার এখানে আমি যহেতু একজন জিওলোজিস্ট একটু এই টেকনিক্যাল জিনিসগুলো আমি বুঝি এবং এটা ভূমিকম্প প্রবণ এলাকায় সাসমিক্যালি আইসোলেট করা হয়েছে যতে নাইন ব্যাং"&amp;"ক নিচুর ভূমিকম্প হলো সেতুকে কিছু")</f>
        <v>অনেকে বলে যে এতগুণ এত হাজার কোটি টাকা সেই ব্রহ্মপুত্র নদী ভূপমেন্ট হাজার ওইটার ওখানকার সয়াল কন্ডিশন একরকম আমার এখানে আমি যহেতু একজন জিওলোজিস্ট একটু এই টেকনিক্যাল জিনিসগুলো আমি বুঝি এবং এটা ভূমিকম্প প্রবণ এলাকায় সাসমিক্যালি আইসোলেট করা হয়েছে যতে নাইন ব্যাংক নিচুর ভূমিকম্প হলো সেতুকে কিছু</v>
      </c>
      <c r="D34" s="2" t="str">
        <f>IFERROR(__xludf.DUMMYFUNCTION("""COMPUTED_VALUE"""),"No")</f>
        <v>No</v>
      </c>
      <c r="E34" s="2" t="str">
        <f>IFERROR(__xludf.DUMMYFUNCTION("""COMPUTED_VALUE"""),"Yes")</f>
        <v>Yes</v>
      </c>
      <c r="F34" s="2" t="str">
        <f>IFERROR(__xludf.DUMMYFUNCTION("""COMPUTED_VALUE"""),"Yes")</f>
        <v>Yes</v>
      </c>
      <c r="G34" s="2">
        <f>IFERROR(__xludf.DUMMYFUNCTION("""COMPUTED_VALUE"""),0.5)</f>
        <v>0.5</v>
      </c>
      <c r="H34" s="2">
        <f>IFERROR(__xludf.DUMMYFUNCTION("""COMPUTED_VALUE"""),0.5)</f>
        <v>0.5</v>
      </c>
      <c r="I34" s="2">
        <f>IFERROR(__xludf.DUMMYFUNCTION("""COMPUTED_VALUE"""),0.5)</f>
        <v>0.5</v>
      </c>
      <c r="J34" s="2">
        <f>IFERROR(__xludf.DUMMYFUNCTION("""COMPUTED_VALUE"""),0.5)</f>
        <v>0.5</v>
      </c>
      <c r="K34" s="2" t="str">
        <f>IFERROR(__xludf.DUMMYFUNCTION("""COMPUTED_VALUE"""),"3 – Mixed language or inconsistent quality")</f>
        <v>3 – Mixed language or inconsistent quality</v>
      </c>
      <c r="L34" s="2" t="str">
        <f>IFERROR(__xludf.DUMMYFUNCTION("""COMPUTED_VALUE"""),"Yes")</f>
        <v>Yes</v>
      </c>
    </row>
    <row r="35">
      <c r="A35" s="2" t="str">
        <f>IFERROR(__xludf.DUMMYFUNCTION("""COMPUTED_VALUE"""),"collect/spontaneous/YouTube/Bangladesh Open University (BOU)/C8qJmp3630k/5116a931-b0d2-4b43-af4f-d6260af4df83.flac")</f>
        <v>collect/spontaneous/YouTube/Bangladesh Open University (BOU)/C8qJmp3630k/5116a931-b0d2-4b43-af4f-d6260af4df83.flac</v>
      </c>
      <c r="B35" s="2">
        <f>IFERROR(__xludf.DUMMYFUNCTION("""COMPUTED_VALUE"""),30.0)</f>
        <v>30</v>
      </c>
      <c r="C35" s="2" t="str">
        <f>IFERROR(__xludf.DUMMYFUNCTION("""COMPUTED_VALUE"""),"তোরা কে ভাগ করে দোয়াতে আমি বিশ্বাসি আমি ডিজাস্টার ভূমিকম্প নিয়ে কাজ করি আমি জানি যে ঢাকা হচ্ছে সবকিছুর হাব বড় ভূমিকম্প যদি হয় তাহলে ঢাকা বসবাসের জন্য অযোগ্য হয়ে যাবে তখন বাংলাদেশের যে উন্নয়ন হয়েছে")</f>
        <v>তোরা কে ভাগ করে দোয়াতে আমি বিশ্বাসি আমি ডিজাস্টার ভূমিকম্প নিয়ে কাজ করি আমি জানি যে ঢাকা হচ্ছে সবকিছুর হাব বড় ভূমিকম্প যদি হয় তাহলে ঢাকা বসবাসের জন্য অযোগ্য হয়ে যাবে তখন বাংলাদেশের যে উন্নয়ন হয়েছে</v>
      </c>
      <c r="D35" s="2" t="str">
        <f>IFERROR(__xludf.DUMMYFUNCTION("""COMPUTED_VALUE"""),"No")</f>
        <v>No</v>
      </c>
      <c r="E35" s="2" t="str">
        <f>IFERROR(__xludf.DUMMYFUNCTION("""COMPUTED_VALUE"""),"Yes")</f>
        <v>Yes</v>
      </c>
      <c r="F35" s="2" t="str">
        <f>IFERROR(__xludf.DUMMYFUNCTION("""COMPUTED_VALUE"""),"Yes")</f>
        <v>Yes</v>
      </c>
      <c r="G35" s="2">
        <f>IFERROR(__xludf.DUMMYFUNCTION("""COMPUTED_VALUE"""),0.5)</f>
        <v>0.5</v>
      </c>
      <c r="H35" s="2">
        <f>IFERROR(__xludf.DUMMYFUNCTION("""COMPUTED_VALUE"""),0.5)</f>
        <v>0.5</v>
      </c>
      <c r="I35" s="2">
        <f>IFERROR(__xludf.DUMMYFUNCTION("""COMPUTED_VALUE"""),0.5)</f>
        <v>0.5</v>
      </c>
      <c r="J35" s="2">
        <f>IFERROR(__xludf.DUMMYFUNCTION("""COMPUTED_VALUE"""),0.5)</f>
        <v>0.5</v>
      </c>
      <c r="K35" s="2" t="str">
        <f>IFERROR(__xludf.DUMMYFUNCTION("""COMPUTED_VALUE"""),"4– Usable, minor flaws Minor background noise.")</f>
        <v>4– Usable, minor flaws Minor background noise.</v>
      </c>
      <c r="L35" s="2" t="str">
        <f>IFERROR(__xludf.DUMMYFUNCTION("""COMPUTED_VALUE"""),"No")</f>
        <v>No</v>
      </c>
    </row>
    <row r="36">
      <c r="A36" s="2" t="str">
        <f>IFERROR(__xludf.DUMMYFUNCTION("""COMPUTED_VALUE"""),"collect/spontaneous/YouTube/Bangladesh Open University (BOU)/C8qJmp3630k/55970774-9836-424e-a375-04a1fe34eca0.flac")</f>
        <v>collect/spontaneous/YouTube/Bangladesh Open University (BOU)/C8qJmp3630k/55970774-9836-424e-a375-04a1fe34eca0.flac</v>
      </c>
      <c r="B36" s="2">
        <f>IFERROR(__xludf.DUMMYFUNCTION("""COMPUTED_VALUE"""),30.0)</f>
        <v>30</v>
      </c>
      <c r="C36" s="2" t="str">
        <f>IFERROR(__xludf.DUMMYFUNCTION("""COMPUTED_VALUE"""),"তওবিকে আগামী দিনে কেমন দেখতে চায় এইটা আমাদেরকে এই টিম এর মাধ্যমে আমাদেরকে সে টার্গেটটা বা সে কেমন দেখতে চায় এটা বুঝতে হবে এবং সেটা স্থির করতে হবে এবতারপরে সেই টিম নিয়ে আমাদেরকে সামনের দিকে দ্রুত গতিতে স্থির গতি হল")</f>
        <v>তওবিকে আগামী দিনে কেমন দেখতে চায় এইটা আমাদেরকে এই টিম এর মাধ্যমে আমাদেরকে সে টার্গেটটা বা সে কেমন দেখতে চায় এটা বুঝতে হবে এবং সেটা স্থির করতে হবে এবতারপরে সেই টিম নিয়ে আমাদেরকে সামনের দিকে দ্রুত গতিতে স্থির গতি হল</v>
      </c>
      <c r="D36" s="2" t="str">
        <f>IFERROR(__xludf.DUMMYFUNCTION("""COMPUTED_VALUE"""),"No")</f>
        <v>No</v>
      </c>
      <c r="E36" s="2" t="str">
        <f>IFERROR(__xludf.DUMMYFUNCTION("""COMPUTED_VALUE"""),"Yes")</f>
        <v>Yes</v>
      </c>
      <c r="F36" s="2" t="str">
        <f>IFERROR(__xludf.DUMMYFUNCTION("""COMPUTED_VALUE"""),"Yes")</f>
        <v>Yes</v>
      </c>
      <c r="G36" s="2">
        <f>IFERROR(__xludf.DUMMYFUNCTION("""COMPUTED_VALUE"""),0.5)</f>
        <v>0.5</v>
      </c>
      <c r="H36" s="2">
        <f>IFERROR(__xludf.DUMMYFUNCTION("""COMPUTED_VALUE"""),0.5)</f>
        <v>0.5</v>
      </c>
      <c r="I36" s="2">
        <f>IFERROR(__xludf.DUMMYFUNCTION("""COMPUTED_VALUE"""),0.5)</f>
        <v>0.5</v>
      </c>
      <c r="J36" s="2">
        <f>IFERROR(__xludf.DUMMYFUNCTION("""COMPUTED_VALUE"""),0.5)</f>
        <v>0.5</v>
      </c>
      <c r="K36" s="2" t="str">
        <f>IFERROR(__xludf.DUMMYFUNCTION("""COMPUTED_VALUE"""),"4– Usable, minor flaws Minor background noise.")</f>
        <v>4– Usable, minor flaws Minor background noise.</v>
      </c>
      <c r="L36" s="2" t="str">
        <f>IFERROR(__xludf.DUMMYFUNCTION("""COMPUTED_VALUE"""),"No")</f>
        <v>No</v>
      </c>
    </row>
    <row r="37">
      <c r="A37" s="2" t="str">
        <f>IFERROR(__xludf.DUMMYFUNCTION("""COMPUTED_VALUE"""),"collect/spontaneous/YouTube/Bangladesh Open University (BOU)/C8qJmp3630k/582e178b-9334-447b-aa23-f0fe214f0722.flac")</f>
        <v>collect/spontaneous/YouTube/Bangladesh Open University (BOU)/C8qJmp3630k/582e178b-9334-447b-aa23-f0fe214f0722.flac</v>
      </c>
      <c r="B37" s="2">
        <f>IFERROR(__xludf.DUMMYFUNCTION("""COMPUTED_VALUE"""),30.0)</f>
        <v>30</v>
      </c>
      <c r="C37" s="2" t="str">
        <f>IFERROR(__xludf.DUMMYFUNCTION("""COMPUTED_VALUE"""),"যে সমস্যা ছিল সমস্যা এখনো আছে ভবিষ্যতেও থাকবে কিন্তু আমি এই সিলেকশন বোর্ড একাডেমিক কাউন্সেল বিভিন্ন যে কমিটি ছিল সেগুলাকে পুনর্গঠনের প্া স্বিি আমি এটাতে হাত দিয়েছি তারমধ্যে সবচাইতে চ্যালেঞ্জিং যেটা হচ্ছে সিলেকশন বোল্ড সেটা")</f>
        <v>যে সমস্যা ছিল সমস্যা এখনো আছে ভবিষ্যতেও থাকবে কিন্তু আমি এই সিলেকশন বোর্ড একাডেমিক কাউন্সেল বিভিন্ন যে কমিটি ছিল সেগুলাকে পুনর্গঠনের প্া স্বিি আমি এটাতে হাত দিয়েছি তারমধ্যে সবচাইতে চ্যালেঞ্জিং যেটা হচ্ছে সিলেকশন বোল্ড সেটা</v>
      </c>
      <c r="D37" s="2" t="str">
        <f>IFERROR(__xludf.DUMMYFUNCTION("""COMPUTED_VALUE"""),"No")</f>
        <v>No</v>
      </c>
      <c r="E37" s="2" t="str">
        <f>IFERROR(__xludf.DUMMYFUNCTION("""COMPUTED_VALUE"""),"Yes")</f>
        <v>Yes</v>
      </c>
      <c r="F37" s="2" t="str">
        <f>IFERROR(__xludf.DUMMYFUNCTION("""COMPUTED_VALUE"""),"Yes")</f>
        <v>Yes</v>
      </c>
      <c r="G37" s="2">
        <f>IFERROR(__xludf.DUMMYFUNCTION("""COMPUTED_VALUE"""),0.5)</f>
        <v>0.5</v>
      </c>
      <c r="H37" s="2">
        <f>IFERROR(__xludf.DUMMYFUNCTION("""COMPUTED_VALUE"""),0.5)</f>
        <v>0.5</v>
      </c>
      <c r="I37" s="2">
        <f>IFERROR(__xludf.DUMMYFUNCTION("""COMPUTED_VALUE"""),1.0)</f>
        <v>1</v>
      </c>
      <c r="J37" s="2">
        <f>IFERROR(__xludf.DUMMYFUNCTION("""COMPUTED_VALUE"""),0.0)</f>
        <v>0</v>
      </c>
      <c r="K37" s="2" t="str">
        <f>IFERROR(__xludf.DUMMYFUNCTION("""COMPUTED_VALUE"""),"4– Usable, minor flaws Minor background noise.")</f>
        <v>4– Usable, minor flaws Minor background noise.</v>
      </c>
      <c r="L37" s="2" t="str">
        <f>IFERROR(__xludf.DUMMYFUNCTION("""COMPUTED_VALUE"""),"No")</f>
        <v>No</v>
      </c>
    </row>
    <row r="38">
      <c r="A38" s="2" t="str">
        <f>IFERROR(__xludf.DUMMYFUNCTION("""COMPUTED_VALUE"""),"collect/spontaneous/YouTube/Bangladesh Open University (BOU)/C8qJmp3630k/5de15546-33c0-46f0-b783-3c3cb8613312.flac")</f>
        <v>collect/spontaneous/YouTube/Bangladesh Open University (BOU)/C8qJmp3630k/5de15546-33c0-46f0-b783-3c3cb8613312.flac</v>
      </c>
      <c r="B38" s="2">
        <f>IFERROR(__xludf.DUMMYFUNCTION("""COMPUTED_VALUE"""),30.0)</f>
        <v>30</v>
      </c>
      <c r="C38" s="2" t="str">
        <f>IFERROR(__xludf.DUMMYFUNCTION("""COMPUTED_VALUE"""),"কেবল হবে না আপনার এটা দ্রুত এটা করে ফেলেন ড্যান আইজ আ মেডিকেল সেন্টার এটাও আমি ফিজিক্যালি ভিজিট করেছি ম্যাডেমের উপরে দায়িত্বে রয়েছে এউনার সহমিগাছি সেদিনও আমি আবার গিয়েছিলাম এটাকে আধুনিকায়ন করতে হবে এবং আমি যেটা খোঁজ নিয়েছি এই এলাকার আশেপাশে ভালো প্যাথলোজি"&amp;"ক্যাল ল্যাব নেই আমি মনে করি যে এখানে যদি আমরা একটা")</f>
        <v>কেবল হবে না আপনার এটা দ্রুত এটা করে ফেলেন ড্যান আইজ আ মেডিকেল সেন্টার এটাও আমি ফিজিক্যালি ভিজিট করেছি ম্যাডেমের উপরে দায়িত্বে রয়েছে এউনার সহমিগাছি সেদিনও আমি আবার গিয়েছিলাম এটাকে আধুনিকায়ন করতে হবে এবং আমি যেটা খোঁজ নিয়েছি এই এলাকার আশেপাশে ভালো প্যাথলোজিক্যাল ল্যাব নেই আমি মনে করি যে এখানে যদি আমরা একটা</v>
      </c>
      <c r="D38" s="2" t="str">
        <f>IFERROR(__xludf.DUMMYFUNCTION("""COMPUTED_VALUE"""),"No")</f>
        <v>No</v>
      </c>
      <c r="E38" s="2" t="str">
        <f>IFERROR(__xludf.DUMMYFUNCTION("""COMPUTED_VALUE"""),"Yes")</f>
        <v>Yes</v>
      </c>
      <c r="F38" s="2" t="str">
        <f>IFERROR(__xludf.DUMMYFUNCTION("""COMPUTED_VALUE"""),"Yes")</f>
        <v>Yes</v>
      </c>
      <c r="G38" s="2">
        <f>IFERROR(__xludf.DUMMYFUNCTION("""COMPUTED_VALUE"""),0.5)</f>
        <v>0.5</v>
      </c>
      <c r="H38" s="2">
        <f>IFERROR(__xludf.DUMMYFUNCTION("""COMPUTED_VALUE"""),0.5)</f>
        <v>0.5</v>
      </c>
      <c r="I38" s="2">
        <f>IFERROR(__xludf.DUMMYFUNCTION("""COMPUTED_VALUE"""),0.5)</f>
        <v>0.5</v>
      </c>
      <c r="J38" s="2">
        <f>IFERROR(__xludf.DUMMYFUNCTION("""COMPUTED_VALUE"""),0.5)</f>
        <v>0.5</v>
      </c>
      <c r="K38" s="2" t="str">
        <f>IFERROR(__xludf.DUMMYFUNCTION("""COMPUTED_VALUE"""),"3 – Mixed language or inconsistent quality")</f>
        <v>3 – Mixed language or inconsistent quality</v>
      </c>
      <c r="L38" s="2" t="str">
        <f>IFERROR(__xludf.DUMMYFUNCTION("""COMPUTED_VALUE"""),"Yes")</f>
        <v>Yes</v>
      </c>
    </row>
    <row r="39">
      <c r="A39" s="2" t="str">
        <f>IFERROR(__xludf.DUMMYFUNCTION("""COMPUTED_VALUE"""),"collect/spontaneous/YouTube/Bangladesh Open University (BOU)/C8qJmp3630k/630ce812-b732-454e-922e-218354913cc1.flac")</f>
        <v>collect/spontaneous/YouTube/Bangladesh Open University (BOU)/C8qJmp3630k/630ce812-b732-454e-922e-218354913cc1.flac</v>
      </c>
      <c r="B39" s="2">
        <f>IFERROR(__xludf.DUMMYFUNCTION("""COMPUTED_VALUE"""),30.0)</f>
        <v>30</v>
      </c>
      <c r="C39" s="2" t="str">
        <f>IFERROR(__xludf.DUMMYFUNCTION("""COMPUTED_VALUE"""),"যেটা আপনার পাওবিদে অর্গানোগ্রাম সেটাও কিন্তু আসলে এই একাডেমিক মাস্টার প্ল্যানের সাথে জড়িত আগে যেটা সাবমিট করা হয়েছিল সেটা প্রশাসন থেকে স্কুলে ডিভিশনে চাহিদা চাওয়া হয়েছিল আপনারা আপনাদের মতো করে না বুঝে হয়তো মনে করেছেন যে ঠিক আছে এত বেশি দিই অটোমেটিক তো কিছ"&amp;"ু")</f>
        <v>যেটা আপনার পাওবিদে অর্গানোগ্রাম সেটাও কিন্তু আসলে এই একাডেমিক মাস্টার প্ল্যানের সাথে জড়িত আগে যেটা সাবমিট করা হয়েছিল সেটা প্রশাসন থেকে স্কুলে ডিভিশনে চাহিদা চাওয়া হয়েছিল আপনারা আপনাদের মতো করে না বুঝে হয়তো মনে করেছেন যে ঠিক আছে এত বেশি দিই অটোমেটিক তো কিছু</v>
      </c>
      <c r="D39" s="2" t="str">
        <f>IFERROR(__xludf.DUMMYFUNCTION("""COMPUTED_VALUE"""),"No")</f>
        <v>No</v>
      </c>
      <c r="E39" s="2" t="str">
        <f>IFERROR(__xludf.DUMMYFUNCTION("""COMPUTED_VALUE"""),"Yes")</f>
        <v>Yes</v>
      </c>
      <c r="F39" s="2" t="str">
        <f>IFERROR(__xludf.DUMMYFUNCTION("""COMPUTED_VALUE"""),"Yes")</f>
        <v>Yes</v>
      </c>
      <c r="G39" s="2">
        <f>IFERROR(__xludf.DUMMYFUNCTION("""COMPUTED_VALUE"""),0.5)</f>
        <v>0.5</v>
      </c>
      <c r="H39" s="2">
        <f>IFERROR(__xludf.DUMMYFUNCTION("""COMPUTED_VALUE"""),0.5)</f>
        <v>0.5</v>
      </c>
      <c r="I39" s="2">
        <f>IFERROR(__xludf.DUMMYFUNCTION("""COMPUTED_VALUE"""),0.5)</f>
        <v>0.5</v>
      </c>
      <c r="J39" s="2">
        <f>IFERROR(__xludf.DUMMYFUNCTION("""COMPUTED_VALUE"""),0.0)</f>
        <v>0</v>
      </c>
      <c r="K39" s="2" t="str">
        <f>IFERROR(__xludf.DUMMYFUNCTION("""COMPUTED_VALUE"""),"3 – Mixed language or inconsistent quality")</f>
        <v>3 – Mixed language or inconsistent quality</v>
      </c>
      <c r="L39" s="2" t="str">
        <f>IFERROR(__xludf.DUMMYFUNCTION("""COMPUTED_VALUE"""),"Yes")</f>
        <v>Yes</v>
      </c>
    </row>
    <row r="40">
      <c r="A40" s="2" t="str">
        <f>IFERROR(__xludf.DUMMYFUNCTION("""COMPUTED_VALUE"""),"collect/spontaneous/YouTube/Bangladesh Open University (BOU)/C8qJmp3630k/6c3dbe0e-ab38-4c2e-8e11-ee0a437c403a.flac")</f>
        <v>collect/spontaneous/YouTube/Bangladesh Open University (BOU)/C8qJmp3630k/6c3dbe0e-ab38-4c2e-8e11-ee0a437c403a.flac</v>
      </c>
      <c r="B40" s="2">
        <f>IFERROR(__xludf.DUMMYFUNCTION("""COMPUTED_VALUE"""),30.0)</f>
        <v>30</v>
      </c>
      <c r="C40" s="2" t="str">
        <f>IFERROR(__xludf.DUMMYFUNCTION("""COMPUTED_VALUE"""),"আশেপাশের লোকজন এটার উপর ভরসা করবে ঐ সে দূরে ঢাকাতে অতদূর যাওয়া লাগবে না সময় নষ্ট পয়সা নষ্ট এখানে কাছেই যদি আমরা ভালো প্যাথলোজিক্যাল টেস্টটা করতে পারি সেই ট্রাস্টটা যদি অর্জন করতে পারে তো সবাই তো তাহলে এখানে আসবে অর্থাৎ আমাদের বাউ্বিকে নানাভাবে ব্ান্ডিং কর"&amp;" সবার মধ্যেই জিনিসটা")</f>
        <v>আশেপাশের লোকজন এটার উপর ভরসা করবে ঐ সে দূরে ঢাকাতে অতদূর যাওয়া লাগবে না সময় নষ্ট পয়সা নষ্ট এখানে কাছেই যদি আমরা ভালো প্যাথলোজিক্যাল টেস্টটা করতে পারি সেই ট্রাস্টটা যদি অর্জন করতে পারে তো সবাই তো তাহলে এখানে আসবে অর্থাৎ আমাদের বাউ্বিকে নানাভাবে ব্ান্ডিং কর সবার মধ্যেই জিনিসটা</v>
      </c>
      <c r="D40" s="2" t="str">
        <f>IFERROR(__xludf.DUMMYFUNCTION("""COMPUTED_VALUE"""),"No")</f>
        <v>No</v>
      </c>
      <c r="E40" s="2" t="str">
        <f>IFERROR(__xludf.DUMMYFUNCTION("""COMPUTED_VALUE"""),"Yes")</f>
        <v>Yes</v>
      </c>
      <c r="F40" s="2" t="str">
        <f>IFERROR(__xludf.DUMMYFUNCTION("""COMPUTED_VALUE"""),"Yes")</f>
        <v>Yes</v>
      </c>
      <c r="G40" s="2">
        <f>IFERROR(__xludf.DUMMYFUNCTION("""COMPUTED_VALUE"""),0.5)</f>
        <v>0.5</v>
      </c>
      <c r="H40" s="2">
        <f>IFERROR(__xludf.DUMMYFUNCTION("""COMPUTED_VALUE"""),0.5)</f>
        <v>0.5</v>
      </c>
      <c r="I40" s="2">
        <f>IFERROR(__xludf.DUMMYFUNCTION("""COMPUTED_VALUE"""),0.5)</f>
        <v>0.5</v>
      </c>
      <c r="J40" s="2">
        <f>IFERROR(__xludf.DUMMYFUNCTION("""COMPUTED_VALUE"""),0.0)</f>
        <v>0</v>
      </c>
      <c r="K40" s="2" t="str">
        <f>IFERROR(__xludf.DUMMYFUNCTION("""COMPUTED_VALUE"""),"4– Usable, minor flaws Minor background noise.")</f>
        <v>4– Usable, minor flaws Minor background noise.</v>
      </c>
      <c r="L40" s="2" t="str">
        <f>IFERROR(__xludf.DUMMYFUNCTION("""COMPUTED_VALUE"""),"No")</f>
        <v>No</v>
      </c>
    </row>
    <row r="41">
      <c r="A41" s="2" t="str">
        <f>IFERROR(__xludf.DUMMYFUNCTION("""COMPUTED_VALUE"""),"collect/spontaneous/YouTube/Bangladesh Open University (BOU)/C8qJmp3630k/75b7bd3d-0e1a-4191-bb6c-f954173fef5b.flac")</f>
        <v>collect/spontaneous/YouTube/Bangladesh Open University (BOU)/C8qJmp3630k/75b7bd3d-0e1a-4191-bb6c-f954173fef5b.flac</v>
      </c>
      <c r="B41" s="2">
        <f>IFERROR(__xludf.DUMMYFUNCTION("""COMPUTED_VALUE"""),30.0)</f>
        <v>30</v>
      </c>
      <c r="C41" s="2" t="str">
        <f>IFERROR(__xludf.DUMMYFUNCTION("""COMPUTED_VALUE"""),"সেই অভিজ্ঞতা নিয়ে এখানে যখন আসলাম আমি দেখলাম যে আমি একটা মহাসমুদ্রের মধ্যে পড়েছি কীভাবে কী করব কী কেন আমি তো শিক্ষক একজন গবেষক প্রশাসনিকত অভিজ্ঞতা নেই যতটুকু অভিজ্ঞতা ছিল বিশ্ববিদ্যালয়ের বিভাগীয় চেয়ারম্যানের দায়িত্ব পালন করা সেটা আসলে তো সেরকম")</f>
        <v>সেই অভিজ্ঞতা নিয়ে এখানে যখন আসলাম আমি দেখলাম যে আমি একটা মহাসমুদ্রের মধ্যে পড়েছি কীভাবে কী করব কী কেন আমি তো শিক্ষক একজন গবেষক প্রশাসনিকত অভিজ্ঞতা নেই যতটুকু অভিজ্ঞতা ছিল বিশ্ববিদ্যালয়ের বিভাগীয় চেয়ারম্যানের দায়িত্ব পালন করা সেটা আসলে তো সেরকম</v>
      </c>
      <c r="D41" s="2" t="str">
        <f>IFERROR(__xludf.DUMMYFUNCTION("""COMPUTED_VALUE"""),"Yes")</f>
        <v>Yes</v>
      </c>
      <c r="E41" s="2" t="str">
        <f>IFERROR(__xludf.DUMMYFUNCTION("""COMPUTED_VALUE"""),"Yes")</f>
        <v>Yes</v>
      </c>
      <c r="F41" s="2" t="str">
        <f>IFERROR(__xludf.DUMMYFUNCTION("""COMPUTED_VALUE"""),"No")</f>
        <v>No</v>
      </c>
      <c r="G41" s="2">
        <f>IFERROR(__xludf.DUMMYFUNCTION("""COMPUTED_VALUE"""),1.0)</f>
        <v>1</v>
      </c>
      <c r="H41" s="2">
        <f>IFERROR(__xludf.DUMMYFUNCTION("""COMPUTED_VALUE"""),1.0)</f>
        <v>1</v>
      </c>
      <c r="I41" s="2">
        <f>IFERROR(__xludf.DUMMYFUNCTION("""COMPUTED_VALUE"""),1.0)</f>
        <v>1</v>
      </c>
      <c r="J41" s="2">
        <f>IFERROR(__xludf.DUMMYFUNCTION("""COMPUTED_VALUE"""),0.0)</f>
        <v>0</v>
      </c>
      <c r="K41" s="2" t="str">
        <f>IFERROR(__xludf.DUMMYFUNCTION("""COMPUTED_VALUE"""),"5 – High-quality, Clean Bangla speech")</f>
        <v>5 – High-quality, Clean Bangla speech</v>
      </c>
      <c r="L41" s="2" t="str">
        <f>IFERROR(__xludf.DUMMYFUNCTION("""COMPUTED_VALUE"""),"No")</f>
        <v>No</v>
      </c>
    </row>
    <row r="42">
      <c r="A42" s="2" t="str">
        <f>IFERROR(__xludf.DUMMYFUNCTION("""COMPUTED_VALUE"""),"collect/spontaneous/YouTube/Bangladesh Open University (BOU)/C8qJmp3630k/778fb1e9-7642-4d6b-962c-a3d24e1f25b7.flac")</f>
        <v>collect/spontaneous/YouTube/Bangladesh Open University (BOU)/C8qJmp3630k/778fb1e9-7642-4d6b-962c-a3d24e1f25b7.flac</v>
      </c>
      <c r="B42" s="2">
        <f>IFERROR(__xludf.DUMMYFUNCTION("""COMPUTED_VALUE"""),30.0)</f>
        <v>30</v>
      </c>
      <c r="C42" s="2" t="str">
        <f>IFERROR(__xludf.DUMMYFUNCTION("""COMPUTED_VALUE"""),"তার আমাদের ত লোক বলেন খুব অবাব আমি উত্তরে বললাম লোকবলের অভাব মানেই আপনি যেটা বলছেন যে মানে কাজ করতে পারছেনা া কতে য়ে বুঝতে পারছেন লোকবলের অভাব যার মানে এটা ইন্ডিকেট করে যে আপনারা মানে প্রচুর কাজ করছেন কাজ করছেন বলেই মনে হচ্ছে যে লোক বলের অভাব তাই না এটি এ"&amp;"কোড সাইন যে আপনারা আসলে খুব কাজ করছে")</f>
        <v>তার আমাদের ত লোক বলেন খুব অবাব আমি উত্তরে বললাম লোকবলের অভাব মানেই আপনি যেটা বলছেন যে মানে কাজ করতে পারছেনা া কতে য়ে বুঝতে পারছেন লোকবলের অভাব যার মানে এটা ইন্ডিকেট করে যে আপনারা মানে প্রচুর কাজ করছেন কাজ করছেন বলেই মনে হচ্ছে যে লোক বলের অভাব তাই না এটি একোড সাইন যে আপনারা আসলে খুব কাজ করছে</v>
      </c>
      <c r="D42" s="2" t="str">
        <f>IFERROR(__xludf.DUMMYFUNCTION("""COMPUTED_VALUE"""),"Yes")</f>
        <v>Yes</v>
      </c>
      <c r="E42" s="2" t="str">
        <f>IFERROR(__xludf.DUMMYFUNCTION("""COMPUTED_VALUE"""),"Yes")</f>
        <v>Yes</v>
      </c>
      <c r="F42" s="2" t="str">
        <f>IFERROR(__xludf.DUMMYFUNCTION("""COMPUTED_VALUE"""),"Yes")</f>
        <v>Yes</v>
      </c>
      <c r="G42" s="2">
        <f>IFERROR(__xludf.DUMMYFUNCTION("""COMPUTED_VALUE"""),1.0)</f>
        <v>1</v>
      </c>
      <c r="H42" s="2">
        <f>IFERROR(__xludf.DUMMYFUNCTION("""COMPUTED_VALUE"""),0.5)</f>
        <v>0.5</v>
      </c>
      <c r="I42" s="2">
        <f>IFERROR(__xludf.DUMMYFUNCTION("""COMPUTED_VALUE"""),1.0)</f>
        <v>1</v>
      </c>
      <c r="J42" s="2">
        <f>IFERROR(__xludf.DUMMYFUNCTION("""COMPUTED_VALUE"""),0.0)</f>
        <v>0</v>
      </c>
      <c r="K42" s="2" t="str">
        <f>IFERROR(__xludf.DUMMYFUNCTION("""COMPUTED_VALUE"""),"4– Usable, minor flaws Minor background noise.")</f>
        <v>4– Usable, minor flaws Minor background noise.</v>
      </c>
      <c r="L42" s="2" t="str">
        <f>IFERROR(__xludf.DUMMYFUNCTION("""COMPUTED_VALUE"""),"No")</f>
        <v>No</v>
      </c>
    </row>
    <row r="43">
      <c r="A43" s="2" t="str">
        <f>IFERROR(__xludf.DUMMYFUNCTION("""COMPUTED_VALUE"""),"collect/spontaneous/YouTube/Bangladesh Open University (BOU)/C8qJmp3630k/784371d1-cfbc-4e27-9772-bc5478113bdc.flac")</f>
        <v>collect/spontaneous/YouTube/Bangladesh Open University (BOU)/C8qJmp3630k/784371d1-cfbc-4e27-9772-bc5478113bdc.flac</v>
      </c>
      <c r="B43" s="2">
        <f>IFERROR(__xludf.DUMMYFUNCTION("""COMPUTED_VALUE"""),30.0)</f>
        <v>30</v>
      </c>
      <c r="C43" s="2" t="str">
        <f>IFERROR(__xludf.DUMMYFUNCTION("""COMPUTED_VALUE"""),"সেটার জন্য আমার কী কী রিসোর্স পার্সন ডেভেলপ করতে হবে সেটাতো করবে বিশ্ববিদ্যালয় সরকারের শিল্পগ্রামকে সাপোর্ট করার জন্য বাস্তবায়ন করার জন্য তারে তো আগে তো আমার দরকার আগে একাডেমিক মাস্টার প্ল্যান দরকার এবং সেইটার জন্য আমার কত স্পেস দরকার ল্যাব কীরকম দরকার ক্"&amp;"লাস রুমের")</f>
        <v>সেটার জন্য আমার কী কী রিসোর্স পার্সন ডেভেলপ করতে হবে সেটাতো করবে বিশ্ববিদ্যালয় সরকারের শিল্পগ্রামকে সাপোর্ট করার জন্য বাস্তবায়ন করার জন্য তারে তো আগে তো আমার দরকার আগে একাডেমিক মাস্টার প্ল্যান দরকার এবং সেইটার জন্য আমার কত স্পেস দরকার ল্যাব কীরকম দরকার ক্লাস রুমের</v>
      </c>
      <c r="D43" s="2" t="str">
        <f>IFERROR(__xludf.DUMMYFUNCTION("""COMPUTED_VALUE"""),"Yes")</f>
        <v>Yes</v>
      </c>
      <c r="E43" s="2" t="str">
        <f>IFERROR(__xludf.DUMMYFUNCTION("""COMPUTED_VALUE"""),"Yes")</f>
        <v>Yes</v>
      </c>
      <c r="F43" s="2" t="str">
        <f>IFERROR(__xludf.DUMMYFUNCTION("""COMPUTED_VALUE"""),"Yes")</f>
        <v>Yes</v>
      </c>
      <c r="G43" s="2">
        <f>IFERROR(__xludf.DUMMYFUNCTION("""COMPUTED_VALUE"""),0.5)</f>
        <v>0.5</v>
      </c>
      <c r="H43" s="2">
        <f>IFERROR(__xludf.DUMMYFUNCTION("""COMPUTED_VALUE"""),1.0)</f>
        <v>1</v>
      </c>
      <c r="I43" s="2">
        <f>IFERROR(__xludf.DUMMYFUNCTION("""COMPUTED_VALUE"""),1.0)</f>
        <v>1</v>
      </c>
      <c r="J43" s="2">
        <f>IFERROR(__xludf.DUMMYFUNCTION("""COMPUTED_VALUE"""),0.0)</f>
        <v>0</v>
      </c>
      <c r="K43" s="2" t="str">
        <f>IFERROR(__xludf.DUMMYFUNCTION("""COMPUTED_VALUE"""),"4– Usable, minor flaws Minor background noise.")</f>
        <v>4– Usable, minor flaws Minor background noise.</v>
      </c>
      <c r="L43" s="2" t="str">
        <f>IFERROR(__xludf.DUMMYFUNCTION("""COMPUTED_VALUE"""),"No")</f>
        <v>No</v>
      </c>
    </row>
    <row r="44">
      <c r="A44" s="2" t="str">
        <f>IFERROR(__xludf.DUMMYFUNCTION("""COMPUTED_VALUE"""),"collect/spontaneous/YouTube/Bangladesh Open University (BOU)/C8qJmp3630k/7d8773ec-5762-4aa1-80c4-3ed706587efe.flac")</f>
        <v>collect/spontaneous/YouTube/Bangladesh Open University (BOU)/C8qJmp3630k/7d8773ec-5762-4aa1-80c4-3ed706587efe.flac</v>
      </c>
      <c r="B44" s="2">
        <f>IFERROR(__xludf.DUMMYFUNCTION("""COMPUTED_VALUE"""),30.0)</f>
        <v>30</v>
      </c>
      <c r="C44" s="2" t="str">
        <f>IFERROR(__xludf.DUMMYFUNCTION("""COMPUTED_VALUE"""),"জিয়ার টেবিলা ইন্টারথেছে আমার সুন্দর একটা মিউজিয়াম করতে পারি এই যে আমাদের মিডিয়া কীভাবে ধাপে ধাপে এপর্যায়ে আসছে যে আপনারা যখন এখন অনেকে কম্পিউটার ব্যবহার করেন ইউজার ফ্রান্লি আপনার এখনকার যে আপনার গ্রাফিক স্কিন আগেতটা ছিল না অনেকে হয়তো জানেনও না যে আগে টস ম"&amp;"োডে ডিক্স অপারেটিং সিস্টেম")</f>
        <v>জিয়ার টেবিলা ইন্টারথেছে আমার সুন্দর একটা মিউজিয়াম করতে পারি এই যে আমাদের মিডিয়া কীভাবে ধাপে ধাপে এপর্যায়ে আসছে যে আপনারা যখন এখন অনেকে কম্পিউটার ব্যবহার করেন ইউজার ফ্রান্লি আপনার এখনকার যে আপনার গ্রাফিক স্কিন আগেতটা ছিল না অনেকে হয়তো জানেনও না যে আগে টস মোডে ডিক্স অপারেটিং সিস্টেম</v>
      </c>
      <c r="D44" s="2" t="str">
        <f>IFERROR(__xludf.DUMMYFUNCTION("""COMPUTED_VALUE"""),"Yes")</f>
        <v>Yes</v>
      </c>
      <c r="E44" s="2" t="str">
        <f>IFERROR(__xludf.DUMMYFUNCTION("""COMPUTED_VALUE"""),"No")</f>
        <v>No</v>
      </c>
      <c r="F44" s="2" t="str">
        <f>IFERROR(__xludf.DUMMYFUNCTION("""COMPUTED_VALUE"""),"Yes")</f>
        <v>Yes</v>
      </c>
      <c r="G44" s="2">
        <f>IFERROR(__xludf.DUMMYFUNCTION("""COMPUTED_VALUE"""),0.5)</f>
        <v>0.5</v>
      </c>
      <c r="H44" s="2">
        <f>IFERROR(__xludf.DUMMYFUNCTION("""COMPUTED_VALUE"""),0.5)</f>
        <v>0.5</v>
      </c>
      <c r="I44" s="2">
        <f>IFERROR(__xludf.DUMMYFUNCTION("""COMPUTED_VALUE"""),0.0)</f>
        <v>0</v>
      </c>
      <c r="J44" s="2">
        <f>IFERROR(__xludf.DUMMYFUNCTION("""COMPUTED_VALUE"""),0.0)</f>
        <v>0</v>
      </c>
      <c r="K44" s="2" t="str">
        <f>IFERROR(__xludf.DUMMYFUNCTION("""COMPUTED_VALUE"""),"3 – Mixed language or inconsistent quality")</f>
        <v>3 – Mixed language or inconsistent quality</v>
      </c>
      <c r="L44" s="2" t="str">
        <f>IFERROR(__xludf.DUMMYFUNCTION("""COMPUTED_VALUE"""),"Yes")</f>
        <v>Yes</v>
      </c>
    </row>
    <row r="45">
      <c r="A45" s="2" t="str">
        <f>IFERROR(__xludf.DUMMYFUNCTION("""COMPUTED_VALUE"""),"collect/spontaneous/YouTube/Bangladesh Open University (BOU)/C8qJmp3630k/9cdd3461-4ed7-4686-ad4c-c96d07ecb5ab.flac")</f>
        <v>collect/spontaneous/YouTube/Bangladesh Open University (BOU)/C8qJmp3630k/9cdd3461-4ed7-4686-ad4c-c96d07ecb5ab.flac</v>
      </c>
      <c r="B45" s="2">
        <f>IFERROR(__xludf.DUMMYFUNCTION("""COMPUTED_VALUE"""),30.0)</f>
        <v>30</v>
      </c>
      <c r="C45" s="2" t="str">
        <f>IFERROR(__xludf.DUMMYFUNCTION("""COMPUTED_VALUE"""),"হলো জি র্যাব তাহলে আমাদের এই মেডিকেল শুধু আমাদের বাউবির পরিবারকে সেবা দেবে না এই আশেপাশে এই বোর্ড বাজার গাজীপুর অঞ্চলে তাদেরকেও সেবা দিবে সেইভাবে এটাকে তৈরি করতে হবে এবং বিশেষ করে পাথলোজি এইটা যদি একটা আস্থায় ট্রাস্টে আসতে পারে")</f>
        <v>হলো জি র্যাব তাহলে আমাদের এই মেডিকেল শুধু আমাদের বাউবির পরিবারকে সেবা দেবে না এই আশেপাশে এই বোর্ড বাজার গাজীপুর অঞ্চলে তাদেরকেও সেবা দিবে সেইভাবে এটাকে তৈরি করতে হবে এবং বিশেষ করে পাথলোজি এইটা যদি একটা আস্থায় ট্রাস্টে আসতে পারে</v>
      </c>
      <c r="D45" s="2" t="str">
        <f>IFERROR(__xludf.DUMMYFUNCTION("""COMPUTED_VALUE"""),"Yes")</f>
        <v>Yes</v>
      </c>
      <c r="E45" s="2" t="str">
        <f>IFERROR(__xludf.DUMMYFUNCTION("""COMPUTED_VALUE"""),"No")</f>
        <v>No</v>
      </c>
      <c r="F45" s="2" t="str">
        <f>IFERROR(__xludf.DUMMYFUNCTION("""COMPUTED_VALUE"""),"No")</f>
        <v>No</v>
      </c>
      <c r="G45" s="2">
        <f>IFERROR(__xludf.DUMMYFUNCTION("""COMPUTED_VALUE"""),1.0)</f>
        <v>1</v>
      </c>
      <c r="H45" s="2">
        <f>IFERROR(__xludf.DUMMYFUNCTION("""COMPUTED_VALUE"""),1.0)</f>
        <v>1</v>
      </c>
      <c r="I45" s="2">
        <f>IFERROR(__xludf.DUMMYFUNCTION("""COMPUTED_VALUE"""),1.0)</f>
        <v>1</v>
      </c>
      <c r="J45" s="2">
        <f>IFERROR(__xludf.DUMMYFUNCTION("""COMPUTED_VALUE"""),0.0)</f>
        <v>0</v>
      </c>
      <c r="K45" s="2" t="str">
        <f>IFERROR(__xludf.DUMMYFUNCTION("""COMPUTED_VALUE"""),"5 – High-quality, Clean Bangla speech")</f>
        <v>5 – High-quality, Clean Bangla speech</v>
      </c>
      <c r="L45" s="2" t="str">
        <f>IFERROR(__xludf.DUMMYFUNCTION("""COMPUTED_VALUE"""),"No")</f>
        <v>No</v>
      </c>
    </row>
    <row r="46">
      <c r="A46" s="2" t="str">
        <f>IFERROR(__xludf.DUMMYFUNCTION("""COMPUTED_VALUE"""),"collect/spontaneous/YouTube/Bangladesh Open University (BOU)/C8qJmp3630k/9d020006-cf5c-42a8-90ca-05d77649ce98.flac")</f>
        <v>collect/spontaneous/YouTube/Bangladesh Open University (BOU)/C8qJmp3630k/9d020006-cf5c-42a8-90ca-05d77649ce98.flac</v>
      </c>
      <c r="B46" s="2">
        <f>IFERROR(__xludf.DUMMYFUNCTION("""COMPUTED_VALUE"""),30.0)</f>
        <v>30</v>
      </c>
      <c r="C46" s="2" t="str">
        <f>IFERROR(__xludf.DUMMYFUNCTION("""COMPUTED_VALUE"""),"উুড়ে পড়বে যদি আমরা ডি স্যান্টালাইজ না করতে পারি সেই জন্য আমরা সবসময় বলে আসি যে এগুলা ডিজ সেন্টরালাইজ করতে হবে আমাদের যেগুলো আছে ঢাকা থেকে সেফার সাইট ওয়েস্ট ইনসাইডে নিতে হাবে তেমনিবে যেকোনো অর্গানাইজেশনেই আসলে যদি আপনার দায়িত্বটাকে যদি আপনি সঠিকভাবে বন্টন "&amp;"করেদেন তাকে ক্ষমতা দেন তাহলে কাজের মধ্যে গতিশীলতা আসবে")</f>
        <v>উুড়ে পড়বে যদি আমরা ডি স্যান্টালাইজ না করতে পারি সেই জন্য আমরা সবসময় বলে আসি যে এগুলা ডিজ সেন্টরালাইজ করতে হবে আমাদের যেগুলো আছে ঢাকা থেকে সেফার সাইট ওয়েস্ট ইনসাইডে নিতে হাবে তেমনিবে যেকোনো অর্গানাইজেশনেই আসলে যদি আপনার দায়িত্বটাকে যদি আপনি সঠিকভাবে বন্টন করেদেন তাকে ক্ষমতা দেন তাহলে কাজের মধ্যে গতিশীলতা আসবে</v>
      </c>
      <c r="D46" s="2" t="str">
        <f>IFERROR(__xludf.DUMMYFUNCTION("""COMPUTED_VALUE"""),"No")</f>
        <v>No</v>
      </c>
      <c r="E46" s="2" t="str">
        <f>IFERROR(__xludf.DUMMYFUNCTION("""COMPUTED_VALUE"""),"Yes")</f>
        <v>Yes</v>
      </c>
      <c r="F46" s="2" t="str">
        <f>IFERROR(__xludf.DUMMYFUNCTION("""COMPUTED_VALUE"""),"Yes")</f>
        <v>Yes</v>
      </c>
      <c r="G46" s="2">
        <f>IFERROR(__xludf.DUMMYFUNCTION("""COMPUTED_VALUE"""),0.5)</f>
        <v>0.5</v>
      </c>
      <c r="H46" s="2">
        <f>IFERROR(__xludf.DUMMYFUNCTION("""COMPUTED_VALUE"""),0.5)</f>
        <v>0.5</v>
      </c>
      <c r="I46" s="2">
        <f>IFERROR(__xludf.DUMMYFUNCTION("""COMPUTED_VALUE"""),0.5)</f>
        <v>0.5</v>
      </c>
      <c r="J46" s="2">
        <f>IFERROR(__xludf.DUMMYFUNCTION("""COMPUTED_VALUE"""),0.0)</f>
        <v>0</v>
      </c>
      <c r="K46" s="2" t="str">
        <f>IFERROR(__xludf.DUMMYFUNCTION("""COMPUTED_VALUE"""),"3 – Mixed language or inconsistent quality")</f>
        <v>3 – Mixed language or inconsistent quality</v>
      </c>
      <c r="L46" s="2" t="str">
        <f>IFERROR(__xludf.DUMMYFUNCTION("""COMPUTED_VALUE"""),"Yes")</f>
        <v>Yes</v>
      </c>
    </row>
    <row r="47">
      <c r="A47" s="2" t="str">
        <f>IFERROR(__xludf.DUMMYFUNCTION("""COMPUTED_VALUE"""),"collect/spontaneous/YouTube/Bangladesh Open University (BOU)/C8qJmp3630k/a4227ed0-522b-4fa4-ba3a-2800335046c8.flac")</f>
        <v>collect/spontaneous/YouTube/Bangladesh Open University (BOU)/C8qJmp3630k/a4227ed0-522b-4fa4-ba3a-2800335046c8.flac</v>
      </c>
      <c r="B47" s="2">
        <f>IFERROR(__xludf.DUMMYFUNCTION("""COMPUTED_VALUE"""),30.0)</f>
        <v>30</v>
      </c>
      <c r="C47" s="2" t="str">
        <f>IFERROR(__xludf.DUMMYFUNCTION("""COMPUTED_VALUE"""),"ব্যবস্থাপনা সেখানে কড়া সম্ভব এইখানে যে একটা বিশ্ববিদ্যালয় যে বিশ্ববিদ্যালয় হচ্ছে শিক্ষা প্রসার ঘটানো এবং তাও কি শিক্ষার্থী এখানে তারা হচ্ছে কর্মজীবী শিক্ষার্থী গরে পড়া শিক্ষার্থী এবং তাদেরকে শিক্ষার আলো দেওয়া এবং যেকোনো শিক্ষা না যে গতানুগতিক আমরা যে শিক্"&amp;"ষাদসেই")</f>
        <v>ব্যবস্থাপনা সেখানে কড়া সম্ভব এইখানে যে একটা বিশ্ববিদ্যালয় যে বিশ্ববিদ্যালয় হচ্ছে শিক্ষা প্রসার ঘটানো এবং তাও কি শিক্ষার্থী এখানে তারা হচ্ছে কর্মজীবী শিক্ষার্থী গরে পড়া শিক্ষার্থী এবং তাদেরকে শিক্ষার আলো দেওয়া এবং যেকোনো শিক্ষা না যে গতানুগতিক আমরা যে শিক্ষাদসেই</v>
      </c>
      <c r="D47" s="2" t="str">
        <f>IFERROR(__xludf.DUMMYFUNCTION("""COMPUTED_VALUE"""),"No")</f>
        <v>No</v>
      </c>
      <c r="E47" s="2" t="str">
        <f>IFERROR(__xludf.DUMMYFUNCTION("""COMPUTED_VALUE"""),"Yes")</f>
        <v>Yes</v>
      </c>
      <c r="F47" s="2" t="str">
        <f>IFERROR(__xludf.DUMMYFUNCTION("""COMPUTED_VALUE"""),"Yes")</f>
        <v>Yes</v>
      </c>
      <c r="G47" s="2">
        <f>IFERROR(__xludf.DUMMYFUNCTION("""COMPUTED_VALUE"""),0.5)</f>
        <v>0.5</v>
      </c>
      <c r="H47" s="2">
        <f>IFERROR(__xludf.DUMMYFUNCTION("""COMPUTED_VALUE"""),0.5)</f>
        <v>0.5</v>
      </c>
      <c r="I47" s="2">
        <f>IFERROR(__xludf.DUMMYFUNCTION("""COMPUTED_VALUE"""),0.5)</f>
        <v>0.5</v>
      </c>
      <c r="J47" s="2">
        <f>IFERROR(__xludf.DUMMYFUNCTION("""COMPUTED_VALUE"""),0.5)</f>
        <v>0.5</v>
      </c>
      <c r="K47" s="2" t="str">
        <f>IFERROR(__xludf.DUMMYFUNCTION("""COMPUTED_VALUE"""),"4– Usable, minor flaws Minor background noise.")</f>
        <v>4– Usable, minor flaws Minor background noise.</v>
      </c>
      <c r="L47" s="2" t="str">
        <f>IFERROR(__xludf.DUMMYFUNCTION("""COMPUTED_VALUE"""),"No")</f>
        <v>No</v>
      </c>
    </row>
    <row r="48">
      <c r="A48" s="2" t="str">
        <f>IFERROR(__xludf.DUMMYFUNCTION("""COMPUTED_VALUE"""),"collect/spontaneous/YouTube/Bangladesh Open University (BOU)/C8qJmp3630k/b000444e-b3b9-4e65-89ca-d2d37b185dfa.flac")</f>
        <v>collect/spontaneous/YouTube/Bangladesh Open University (BOU)/C8qJmp3630k/b000444e-b3b9-4e65-89ca-d2d37b185dfa.flac</v>
      </c>
      <c r="B48" s="2">
        <f>IFERROR(__xludf.DUMMYFUNCTION("""COMPUTED_VALUE"""),30.0)</f>
        <v>30</v>
      </c>
      <c r="C48" s="2" t="str">
        <f>IFERROR(__xludf.DUMMYFUNCTION("""COMPUTED_VALUE"""),"কে ডকুমেন্ট্রি দেখানো হল এবং আপনারা যে প্রশংসামূলক যে কথা বললেন সেটা আসলে এই যে বিশ্ববিদ্যালয়ের বিভিন্ন বা দেশের যে জাতীয় দিবস পালন করা বিশ্ববিদ্যালয়ের বিভিন্ন অনুষ্ঠান করা এগুলা তো মোটামুটি একটা রুটিন জব এখানে আমি না হলো প্রফেসর")</f>
        <v>কে ডকুমেন্ট্রি দেখানো হল এবং আপনারা যে প্রশংসামূলক যে কথা বললেন সেটা আসলে এই যে বিশ্ববিদ্যালয়ের বিভিন্ন বা দেশের যে জাতীয় দিবস পালন করা বিশ্ববিদ্যালয়ের বিভিন্ন অনুষ্ঠান করা এগুলা তো মোটামুটি একটা রুটিন জব এখানে আমি না হলো প্রফেসর</v>
      </c>
      <c r="D48" s="2" t="str">
        <f>IFERROR(__xludf.DUMMYFUNCTION("""COMPUTED_VALUE"""),"Yes")</f>
        <v>Yes</v>
      </c>
      <c r="E48" s="2" t="str">
        <f>IFERROR(__xludf.DUMMYFUNCTION("""COMPUTED_VALUE"""),"No")</f>
        <v>No</v>
      </c>
      <c r="F48" s="2" t="str">
        <f>IFERROR(__xludf.DUMMYFUNCTION("""COMPUTED_VALUE"""),"Yes")</f>
        <v>Yes</v>
      </c>
      <c r="G48" s="2">
        <f>IFERROR(__xludf.DUMMYFUNCTION("""COMPUTED_VALUE"""),1.0)</f>
        <v>1</v>
      </c>
      <c r="H48" s="2">
        <f>IFERROR(__xludf.DUMMYFUNCTION("""COMPUTED_VALUE"""),1.0)</f>
        <v>1</v>
      </c>
      <c r="I48" s="2">
        <f>IFERROR(__xludf.DUMMYFUNCTION("""COMPUTED_VALUE"""),1.0)</f>
        <v>1</v>
      </c>
      <c r="J48" s="2">
        <f>IFERROR(__xludf.DUMMYFUNCTION("""COMPUTED_VALUE"""),0.0)</f>
        <v>0</v>
      </c>
      <c r="K48" s="2" t="str">
        <f>IFERROR(__xludf.DUMMYFUNCTION("""COMPUTED_VALUE"""),"5 – High-quality, Clean Bangla speech")</f>
        <v>5 – High-quality, Clean Bangla speech</v>
      </c>
      <c r="L48" s="2" t="str">
        <f>IFERROR(__xludf.DUMMYFUNCTION("""COMPUTED_VALUE"""),"No")</f>
        <v>No</v>
      </c>
    </row>
    <row r="49">
      <c r="A49" s="2" t="str">
        <f>IFERROR(__xludf.DUMMYFUNCTION("""COMPUTED_VALUE"""),"collect/spontaneous/YouTube/Bangladesh Open University (BOU)/C8qJmp3630k/d2ca7f42-7335-4566-85a7-4c811dad43ee.flac")</f>
        <v>collect/spontaneous/YouTube/Bangladesh Open University (BOU)/C8qJmp3630k/d2ca7f42-7335-4566-85a7-4c811dad43ee.flac</v>
      </c>
      <c r="B49" s="2">
        <f>IFERROR(__xludf.DUMMYFUNCTION("""COMPUTED_VALUE"""),30.0)</f>
        <v>30</v>
      </c>
      <c r="C49" s="2" t="str">
        <f>IFERROR(__xludf.DUMMYFUNCTION("""COMPUTED_VALUE"""),"সমি আমি সিলেকশন বোর্ডে কেননা যেটা আমি দেখলাম যে বারো বছরে দুই হাজার বাইশ সালে সেই সিলেকশন বো্ড তৈরি করা সেইটা দিয়ে আপনার প্রমোশনেরি গোলা সিলেকশন চলছিল যেটা প্রভেসি একার প্রশাসন উনি একটা ফাইলে এপটা নোট লিখেছিলেন যে দুই হাজার বারো সালে সিলেকশন সেইটার কতটুকু"&amp;" যুক্তিসংঘ")</f>
        <v>সমি আমি সিলেকশন বোর্ডে কেননা যেটা আমি দেখলাম যে বারো বছরে দুই হাজার বাইশ সালে সেই সিলেকশন বো্ড তৈরি করা সেইটা দিয়ে আপনার প্রমোশনেরি গোলা সিলেকশন চলছিল যেটা প্রভেসি একার প্রশাসন উনি একটা ফাইলে এপটা নোট লিখেছিলেন যে দুই হাজার বারো সালে সিলেকশন সেইটার কতটুকু যুক্তিসংঘ</v>
      </c>
      <c r="D49" s="2" t="str">
        <f>IFERROR(__xludf.DUMMYFUNCTION("""COMPUTED_VALUE"""),"No")</f>
        <v>No</v>
      </c>
      <c r="E49" s="2" t="str">
        <f>IFERROR(__xludf.DUMMYFUNCTION("""COMPUTED_VALUE"""),"No")</f>
        <v>No</v>
      </c>
      <c r="F49" s="2" t="str">
        <f>IFERROR(__xludf.DUMMYFUNCTION("""COMPUTED_VALUE"""),"Yes")</f>
        <v>Yes</v>
      </c>
      <c r="G49" s="2">
        <f>IFERROR(__xludf.DUMMYFUNCTION("""COMPUTED_VALUE"""),0.5)</f>
        <v>0.5</v>
      </c>
      <c r="H49" s="2">
        <f>IFERROR(__xludf.DUMMYFUNCTION("""COMPUTED_VALUE"""),0.5)</f>
        <v>0.5</v>
      </c>
      <c r="I49" s="2">
        <f>IFERROR(__xludf.DUMMYFUNCTION("""COMPUTED_VALUE"""),0.5)</f>
        <v>0.5</v>
      </c>
      <c r="J49" s="2">
        <f>IFERROR(__xludf.DUMMYFUNCTION("""COMPUTED_VALUE"""),1.0)</f>
        <v>1</v>
      </c>
      <c r="K49" s="2" t="str">
        <f>IFERROR(__xludf.DUMMYFUNCTION("""COMPUTED_VALUE"""),"4– Usable, minor flaws Minor background noise.")</f>
        <v>4– Usable, minor flaws Minor background noise.</v>
      </c>
      <c r="L49" s="2" t="str">
        <f>IFERROR(__xludf.DUMMYFUNCTION("""COMPUTED_VALUE"""),"No")</f>
        <v>No</v>
      </c>
    </row>
    <row r="50">
      <c r="A50" s="2" t="str">
        <f>IFERROR(__xludf.DUMMYFUNCTION("""COMPUTED_VALUE"""),"collect/spontaneous/YouTube/Bangladesh Open University (BOU)/C8qJmp3630k/d3548422-1647-4c91-b64e-7181c0d0c585.flac")</f>
        <v>collect/spontaneous/YouTube/Bangladesh Open University (BOU)/C8qJmp3630k/d3548422-1647-4c91-b64e-7181c0d0c585.flac</v>
      </c>
      <c r="B50" s="2">
        <f>IFERROR(__xludf.DUMMYFUNCTION("""COMPUTED_VALUE"""),30.0)</f>
        <v>30</v>
      </c>
      <c r="C50" s="2" t="str">
        <f>IFERROR(__xludf.DUMMYFUNCTION("""COMPUTED_VALUE"""),"শিক্ষাটা একটু ভিন্ন ধরনের কর্মমুখী গণমুখী সেজন্য সেই স্লোগানের আবির্ভাব ই শিক্ষা দিতে গেলে আমাকে চাইলে কি করতে হবে এবং এইগুলা চিন্তা করতে যেয়ে আমন ভাবলাম যে আমি একটা আসলে মহাসমুদ্রের মধ্যে পৌড়েছি এবং এখানে দেখলাম যে যে ধরনের কিছু টার্মিনোলজি আমি যেটা আগে "&amp;"কখনো শুনি নাই")</f>
        <v>শিক্ষাটা একটু ভিন্ন ধরনের কর্মমুখী গণমুখী সেজন্য সেই স্লোগানের আবির্ভাব ই শিক্ষা দিতে গেলে আমাকে চাইলে কি করতে হবে এবং এইগুলা চিন্তা করতে যেয়ে আমন ভাবলাম যে আমি একটা আসলে মহাসমুদ্রের মধ্যে পৌড়েছি এবং এখানে দেখলাম যে যে ধরনের কিছু টার্মিনোলজি আমি যেটা আগে কখনো শুনি নাই</v>
      </c>
      <c r="D50" s="2" t="str">
        <f>IFERROR(__xludf.DUMMYFUNCTION("""COMPUTED_VALUE"""),"Yes")</f>
        <v>Yes</v>
      </c>
      <c r="E50" s="2" t="str">
        <f>IFERROR(__xludf.DUMMYFUNCTION("""COMPUTED_VALUE"""),"No")</f>
        <v>No</v>
      </c>
      <c r="F50" s="2" t="str">
        <f>IFERROR(__xludf.DUMMYFUNCTION("""COMPUTED_VALUE"""),"Yes")</f>
        <v>Yes</v>
      </c>
      <c r="G50" s="2">
        <f>IFERROR(__xludf.DUMMYFUNCTION("""COMPUTED_VALUE"""),1.0)</f>
        <v>1</v>
      </c>
      <c r="H50" s="2">
        <f>IFERROR(__xludf.DUMMYFUNCTION("""COMPUTED_VALUE"""),1.0)</f>
        <v>1</v>
      </c>
      <c r="I50" s="2">
        <f>IFERROR(__xludf.DUMMYFUNCTION("""COMPUTED_VALUE"""),1.0)</f>
        <v>1</v>
      </c>
      <c r="J50" s="2">
        <f>IFERROR(__xludf.DUMMYFUNCTION("""COMPUTED_VALUE"""),0.0)</f>
        <v>0</v>
      </c>
      <c r="K50" s="2" t="str">
        <f>IFERROR(__xludf.DUMMYFUNCTION("""COMPUTED_VALUE"""),"5 – High-quality, Clean Bangla speech")</f>
        <v>5 – High-quality, Clean Bangla speech</v>
      </c>
      <c r="L50" s="2" t="str">
        <f>IFERROR(__xludf.DUMMYFUNCTION("""COMPUTED_VALUE"""),"No")</f>
        <v>No</v>
      </c>
    </row>
    <row r="51">
      <c r="A51" s="2" t="str">
        <f>IFERROR(__xludf.DUMMYFUNCTION("""COMPUTED_VALUE"""),"collect/spontaneous/YouTube/Bangladesh Open University (BOU)/C8qJmp3630k/dad0f986-6fac-4cab-a5ce-a020c59d06e8.flac")</f>
        <v>collect/spontaneous/YouTube/Bangladesh Open University (BOU)/C8qJmp3630k/dad0f986-6fac-4cab-a5ce-a020c59d06e8.flac</v>
      </c>
      <c r="B51" s="2">
        <f>IFERROR(__xludf.DUMMYFUNCTION("""COMPUTED_VALUE"""),30.0)</f>
        <v>30</v>
      </c>
      <c r="C51" s="2" t="str">
        <f>IFERROR(__xludf.DUMMYFUNCTION("""COMPUTED_VALUE"""),"অনৈত্রের নাম যাই তাদের পলিটিক্যাও ব্যাকগ্রাউন্ড অন্যান্য একাডেমিক ব্যাকগ্রাউন তাদের কাছে যখন এনআইডি চা হল তখন তারা অপেন্ ডেড ফিল করলেন আবার আমাদের আবার সেকেন আরেকজন অর্টারনেটি পার্সেন্ট কী করতে হলো তারপর আবার যখন এটা মিনিস্ট্রিতে পাঠানো হল মিনিস্ট্রি থেকে"&amp;" আবার ফেরত আসল যে না সব আপনারা একটা ক্লাস চার হয়ে গেছে একই বিশ্ববিদ্যালয় হয়ে গেছে")</f>
        <v>অনৈত্রের নাম যাই তাদের পলিটিক্যাও ব্যাকগ্রাউন্ড অন্যান্য একাডেমিক ব্যাকগ্রাউন তাদের কাছে যখন এনআইডি চা হল তখন তারা অপেন্ ডেড ফিল করলেন আবার আমাদের আবার সেকেন আরেকজন অর্টারনেটি পার্সেন্ট কী করতে হলো তারপর আবার যখন এটা মিনিস্ট্রিতে পাঠানো হল মিনিস্ট্রি থেকে আবার ফেরত আসল যে না সব আপনারা একটা ক্লাস চার হয়ে গেছে একই বিশ্ববিদ্যালয় হয়ে গেছে</v>
      </c>
      <c r="D51" s="2" t="str">
        <f>IFERROR(__xludf.DUMMYFUNCTION("""COMPUTED_VALUE"""),"No")</f>
        <v>No</v>
      </c>
      <c r="E51" s="2" t="str">
        <f>IFERROR(__xludf.DUMMYFUNCTION("""COMPUTED_VALUE"""),"Yes")</f>
        <v>Yes</v>
      </c>
      <c r="F51" s="2" t="str">
        <f>IFERROR(__xludf.DUMMYFUNCTION("""COMPUTED_VALUE"""),"Yes")</f>
        <v>Yes</v>
      </c>
      <c r="G51" s="2">
        <f>IFERROR(__xludf.DUMMYFUNCTION("""COMPUTED_VALUE"""),0.0)</f>
        <v>0</v>
      </c>
      <c r="H51" s="2">
        <f>IFERROR(__xludf.DUMMYFUNCTION("""COMPUTED_VALUE"""),0.0)</f>
        <v>0</v>
      </c>
      <c r="I51" s="2">
        <f>IFERROR(__xludf.DUMMYFUNCTION("""COMPUTED_VALUE"""),0.0)</f>
        <v>0</v>
      </c>
      <c r="J51" s="2">
        <f>IFERROR(__xludf.DUMMYFUNCTION("""COMPUTED_VALUE"""),0.0)</f>
        <v>0</v>
      </c>
      <c r="K51" s="2" t="str">
        <f>IFERROR(__xludf.DUMMYFUNCTION("""COMPUTED_VALUE"""),"3 – Mixed language or inconsistent quality")</f>
        <v>3 – Mixed language or inconsistent quality</v>
      </c>
      <c r="L51" s="2" t="str">
        <f>IFERROR(__xludf.DUMMYFUNCTION("""COMPUTED_VALUE"""),"Yes")</f>
        <v>Yes</v>
      </c>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row r="1000">
      <c r="A1000" s="2"/>
      <c r="B1000" s="2"/>
      <c r="C1000" s="2"/>
      <c r="D1000" s="2"/>
      <c r="E1000" s="2"/>
      <c r="F1000" s="2"/>
      <c r="G1000" s="2"/>
      <c r="H1000" s="2"/>
      <c r="I1000" s="2"/>
      <c r="J1000" s="2"/>
      <c r="K1000" s="2"/>
      <c r="L1000" s="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IFERROR(__xludf.DUMMYFUNCTION("IMPORTRANGE(""https://docs.google.com/spreadsheets/d/1UBnDQLBQan7R0Zm5qO8tuyav0U8mcd9uVBMEOwQuf6E/edit?gid=0#gid=0"", ""Data!A:L"")"),"Filename")</f>
        <v>Filename</v>
      </c>
      <c r="B1" s="1" t="str">
        <f>IFERROR(__xludf.DUMMYFUNCTION("""COMPUTED_VALUE"""),"Duration (seconds)")</f>
        <v>Duration (seconds)</v>
      </c>
      <c r="C1" s="2" t="str">
        <f>IFERROR(__xludf.DUMMYFUNCTION("""COMPUTED_VALUE"""),"Text")</f>
        <v>Text</v>
      </c>
      <c r="D1" s="2" t="str">
        <f>IFERROR(__xludf.DUMMYFUNCTION("""COMPUTED_VALUE"""),"Correct")</f>
        <v>Correct</v>
      </c>
      <c r="E1" s="2" t="str">
        <f>IFERROR(__xludf.DUMMYFUNCTION("""COMPUTED_VALUE"""),"Word Missing")</f>
        <v>Word Missing</v>
      </c>
      <c r="F1" s="2" t="str">
        <f>IFERROR(__xludf.DUMMYFUNCTION("""COMPUTED_VALUE"""),"Spelling Mistake")</f>
        <v>Spelling Mistake</v>
      </c>
      <c r="G1" s="2" t="str">
        <f>IFERROR(__xludf.DUMMYFUNCTION("""COMPUTED_VALUE"""),"Word Accuracy")</f>
        <v>Word Accuracy</v>
      </c>
      <c r="H1" s="2" t="str">
        <f>IFERROR(__xludf.DUMMYFUNCTION("""COMPUTED_VALUE"""),"Grammar &amp; Syntax")</f>
        <v>Grammar &amp; Syntax</v>
      </c>
      <c r="I1" s="2" t="str">
        <f>IFERROR(__xludf.DUMMYFUNCTION("""COMPUTED_VALUE"""),"Proper Noun Recognition")</f>
        <v>Proper Noun Recognition</v>
      </c>
      <c r="J1" s="2" t="str">
        <f>IFERROR(__xludf.DUMMYFUNCTION("""COMPUTED_VALUE"""),"Punctuation &amp; Formatting")</f>
        <v>Punctuation &amp; Formatting</v>
      </c>
      <c r="K1" s="2" t="str">
        <f>IFERROR(__xludf.DUMMYFUNCTION("""COMPUTED_VALUE"""),"Audio Quality")</f>
        <v>Audio Quality</v>
      </c>
      <c r="L1" s="2" t="str">
        <f>IFERROR(__xludf.DUMMYFUNCTION("""COMPUTED_VALUE"""),"Language Content
(if contains more than 10% foreign language)")</f>
        <v>Language Content
(if contains more than 10% foreign language)</v>
      </c>
    </row>
    <row r="2">
      <c r="A2" s="2"/>
      <c r="B2" s="2"/>
      <c r="C2" s="2"/>
      <c r="D2" s="2"/>
      <c r="E2" s="2"/>
      <c r="F2" s="2"/>
      <c r="G2" s="2"/>
      <c r="H2" s="2"/>
      <c r="I2" s="2"/>
      <c r="J2" s="2"/>
      <c r="K2" s="2"/>
      <c r="L2" s="2"/>
    </row>
    <row r="3">
      <c r="A3" s="2"/>
      <c r="B3" s="2"/>
      <c r="C3" s="2"/>
      <c r="D3" s="2"/>
      <c r="E3" s="2"/>
      <c r="F3" s="2"/>
      <c r="G3" s="2"/>
      <c r="H3" s="2"/>
      <c r="I3" s="2"/>
      <c r="J3" s="2"/>
      <c r="K3" s="2"/>
      <c r="L3" s="2"/>
    </row>
    <row r="4">
      <c r="A4" s="2"/>
      <c r="B4" s="2"/>
      <c r="C4" s="2"/>
      <c r="D4" s="2"/>
      <c r="E4" s="2"/>
      <c r="F4" s="2"/>
      <c r="G4" s="2"/>
      <c r="H4" s="2"/>
      <c r="I4" s="2"/>
      <c r="J4" s="2"/>
      <c r="K4" s="2"/>
      <c r="L4" s="2"/>
    </row>
    <row r="5">
      <c r="A5" s="2"/>
      <c r="B5" s="2"/>
      <c r="C5" s="2"/>
      <c r="D5" s="2"/>
      <c r="E5" s="2"/>
      <c r="F5" s="2"/>
      <c r="G5" s="2"/>
      <c r="H5" s="2"/>
      <c r="I5" s="2"/>
      <c r="J5" s="2"/>
      <c r="K5" s="2"/>
      <c r="L5" s="2"/>
    </row>
    <row r="6">
      <c r="A6" s="2"/>
      <c r="B6" s="2"/>
      <c r="C6" s="2"/>
      <c r="D6" s="2"/>
      <c r="E6" s="2"/>
      <c r="F6" s="2"/>
      <c r="G6" s="2"/>
      <c r="H6" s="2"/>
      <c r="I6" s="2"/>
      <c r="J6" s="2"/>
      <c r="K6" s="2"/>
      <c r="L6" s="2"/>
    </row>
    <row r="7">
      <c r="A7" s="2"/>
      <c r="B7" s="2"/>
      <c r="C7" s="2"/>
      <c r="D7" s="2"/>
      <c r="E7" s="2"/>
      <c r="F7" s="2"/>
      <c r="G7" s="2"/>
      <c r="H7" s="2"/>
      <c r="I7" s="2"/>
      <c r="J7" s="2"/>
      <c r="K7" s="2"/>
      <c r="L7" s="2"/>
    </row>
    <row r="8">
      <c r="A8" s="2"/>
      <c r="B8" s="2"/>
      <c r="C8" s="2"/>
      <c r="D8" s="2"/>
      <c r="E8" s="2"/>
      <c r="F8" s="2"/>
      <c r="G8" s="2"/>
      <c r="H8" s="2"/>
      <c r="I8" s="2"/>
      <c r="J8" s="2"/>
      <c r="K8" s="2"/>
      <c r="L8" s="2"/>
    </row>
    <row r="9">
      <c r="A9" s="2"/>
      <c r="B9" s="2"/>
      <c r="C9" s="2"/>
      <c r="D9" s="2"/>
      <c r="E9" s="2"/>
      <c r="F9" s="2"/>
      <c r="G9" s="2"/>
      <c r="H9" s="2"/>
      <c r="I9" s="2"/>
      <c r="J9" s="2"/>
      <c r="K9" s="2"/>
      <c r="L9" s="2"/>
    </row>
    <row r="10">
      <c r="A10" s="2"/>
      <c r="B10" s="2"/>
      <c r="C10" s="2"/>
      <c r="D10" s="2"/>
      <c r="E10" s="2"/>
      <c r="F10" s="2"/>
      <c r="G10" s="2"/>
      <c r="H10" s="2"/>
      <c r="I10" s="2"/>
      <c r="J10" s="2"/>
      <c r="K10" s="2"/>
      <c r="L10" s="2"/>
    </row>
    <row r="11">
      <c r="A11" s="2"/>
      <c r="B11" s="2"/>
      <c r="C11" s="2"/>
      <c r="D11" s="2"/>
      <c r="E11" s="2"/>
      <c r="F11" s="2"/>
      <c r="G11" s="2"/>
      <c r="H11" s="2"/>
      <c r="I11" s="2"/>
      <c r="J11" s="2"/>
      <c r="K11" s="2"/>
      <c r="L11" s="2"/>
    </row>
    <row r="12">
      <c r="A12" s="2"/>
      <c r="B12" s="2"/>
      <c r="C12" s="2"/>
      <c r="D12" s="2"/>
      <c r="E12" s="2"/>
      <c r="F12" s="2"/>
      <c r="G12" s="2"/>
      <c r="H12" s="2"/>
      <c r="I12" s="2"/>
      <c r="J12" s="2"/>
      <c r="K12" s="2"/>
      <c r="L12" s="2"/>
    </row>
    <row r="13">
      <c r="A13" s="2"/>
      <c r="B13" s="2"/>
      <c r="C13" s="2"/>
      <c r="D13" s="2"/>
      <c r="E13" s="2"/>
      <c r="F13" s="2"/>
      <c r="G13" s="2"/>
      <c r="H13" s="2"/>
      <c r="I13" s="2"/>
      <c r="J13" s="2"/>
      <c r="K13" s="2"/>
      <c r="L13" s="2"/>
    </row>
    <row r="14">
      <c r="A14" s="2"/>
      <c r="B14" s="2"/>
      <c r="C14" s="2"/>
      <c r="D14" s="2"/>
      <c r="E14" s="2"/>
      <c r="F14" s="2"/>
      <c r="G14" s="2"/>
      <c r="H14" s="2"/>
      <c r="I14" s="2"/>
      <c r="J14" s="2"/>
      <c r="K14" s="2"/>
      <c r="L14" s="2"/>
    </row>
    <row r="15">
      <c r="A15" s="2"/>
      <c r="B15" s="2"/>
      <c r="C15" s="2"/>
      <c r="D15" s="2"/>
      <c r="E15" s="2"/>
      <c r="F15" s="2"/>
      <c r="G15" s="2"/>
      <c r="H15" s="2"/>
      <c r="I15" s="2"/>
      <c r="J15" s="2"/>
      <c r="K15" s="2"/>
      <c r="L15" s="2"/>
    </row>
    <row r="16">
      <c r="A16" s="2"/>
      <c r="B16" s="2"/>
      <c r="C16" s="2"/>
      <c r="D16" s="2"/>
      <c r="E16" s="2"/>
      <c r="F16" s="2"/>
      <c r="G16" s="2"/>
      <c r="H16" s="2"/>
      <c r="I16" s="2"/>
      <c r="J16" s="2"/>
      <c r="K16" s="2"/>
      <c r="L16" s="2"/>
    </row>
    <row r="17">
      <c r="A17" s="2"/>
      <c r="B17" s="2"/>
      <c r="C17" s="2"/>
      <c r="D17" s="2"/>
      <c r="E17" s="2"/>
      <c r="F17" s="2"/>
      <c r="G17" s="2"/>
      <c r="H17" s="2"/>
      <c r="I17" s="2"/>
      <c r="J17" s="2"/>
      <c r="K17" s="2"/>
      <c r="L17" s="2"/>
    </row>
    <row r="18">
      <c r="A18" s="2"/>
      <c r="B18" s="2"/>
      <c r="C18" s="2"/>
      <c r="D18" s="2"/>
      <c r="E18" s="2"/>
      <c r="F18" s="2"/>
      <c r="G18" s="2"/>
      <c r="H18" s="2"/>
      <c r="I18" s="2"/>
      <c r="J18" s="2"/>
      <c r="K18" s="2"/>
      <c r="L18" s="2"/>
    </row>
    <row r="19">
      <c r="A19" s="2"/>
      <c r="B19" s="2"/>
      <c r="C19" s="2"/>
      <c r="D19" s="2"/>
      <c r="E19" s="2"/>
      <c r="F19" s="2"/>
      <c r="G19" s="2"/>
      <c r="H19" s="2"/>
      <c r="I19" s="2"/>
      <c r="J19" s="2"/>
      <c r="K19" s="2"/>
      <c r="L19" s="2"/>
    </row>
    <row r="20">
      <c r="A20" s="2"/>
      <c r="B20" s="2"/>
      <c r="C20" s="2"/>
      <c r="D20" s="2"/>
      <c r="E20" s="2"/>
      <c r="F20" s="2"/>
      <c r="G20" s="2"/>
      <c r="H20" s="2"/>
      <c r="I20" s="2"/>
      <c r="J20" s="2"/>
      <c r="K20" s="2"/>
      <c r="L20" s="2"/>
    </row>
    <row r="21">
      <c r="A21" s="2"/>
      <c r="B21" s="2"/>
      <c r="C21" s="2"/>
      <c r="D21" s="2"/>
      <c r="E21" s="2"/>
      <c r="F21" s="2"/>
      <c r="G21" s="2"/>
      <c r="H21" s="2"/>
      <c r="I21" s="2"/>
      <c r="J21" s="2"/>
      <c r="K21" s="2"/>
      <c r="L21" s="2"/>
    </row>
    <row r="22">
      <c r="A22" s="2"/>
      <c r="B22" s="2"/>
      <c r="C22" s="2"/>
      <c r="D22" s="2"/>
      <c r="E22" s="2"/>
      <c r="F22" s="2"/>
      <c r="G22" s="2"/>
      <c r="H22" s="2"/>
      <c r="I22" s="2"/>
      <c r="J22" s="2"/>
      <c r="K22" s="2"/>
      <c r="L22" s="2"/>
    </row>
    <row r="23">
      <c r="A23" s="2"/>
      <c r="B23" s="2"/>
      <c r="C23" s="2"/>
      <c r="D23" s="2"/>
      <c r="E23" s="2"/>
      <c r="F23" s="2"/>
      <c r="G23" s="2"/>
      <c r="H23" s="2"/>
      <c r="I23" s="2"/>
      <c r="J23" s="2"/>
      <c r="K23" s="2"/>
      <c r="L23" s="2"/>
    </row>
    <row r="24">
      <c r="A24" s="2"/>
      <c r="B24" s="2"/>
      <c r="C24" s="2"/>
      <c r="D24" s="2"/>
      <c r="E24" s="2"/>
      <c r="F24" s="2"/>
      <c r="G24" s="2"/>
      <c r="H24" s="2"/>
      <c r="I24" s="2"/>
      <c r="J24" s="2"/>
      <c r="K24" s="2"/>
      <c r="L24" s="2"/>
    </row>
    <row r="25">
      <c r="A25" s="2"/>
      <c r="B25" s="2"/>
      <c r="C25" s="2"/>
      <c r="D25" s="2"/>
      <c r="E25" s="2"/>
      <c r="F25" s="2"/>
      <c r="G25" s="2"/>
      <c r="H25" s="2"/>
      <c r="I25" s="2"/>
      <c r="J25" s="2"/>
      <c r="K25" s="2"/>
      <c r="L25" s="2"/>
    </row>
    <row r="26">
      <c r="A26" s="2"/>
      <c r="B26" s="2"/>
      <c r="C26" s="2"/>
      <c r="D26" s="2"/>
      <c r="E26" s="2"/>
      <c r="F26" s="2"/>
      <c r="G26" s="2"/>
      <c r="H26" s="2"/>
      <c r="I26" s="2"/>
      <c r="J26" s="2"/>
      <c r="K26" s="2"/>
      <c r="L26" s="2"/>
    </row>
    <row r="27">
      <c r="A27" s="2"/>
      <c r="B27" s="2"/>
      <c r="C27" s="2"/>
      <c r="D27" s="2"/>
      <c r="E27" s="2"/>
      <c r="F27" s="2"/>
      <c r="G27" s="2"/>
      <c r="H27" s="2"/>
      <c r="I27" s="2"/>
      <c r="J27" s="2"/>
      <c r="K27" s="2"/>
      <c r="L27" s="2"/>
    </row>
    <row r="28">
      <c r="A28" s="2"/>
      <c r="B28" s="2"/>
      <c r="C28" s="2"/>
      <c r="D28" s="2"/>
      <c r="E28" s="2"/>
      <c r="F28" s="2"/>
      <c r="G28" s="2"/>
      <c r="H28" s="2"/>
      <c r="I28" s="2"/>
      <c r="J28" s="2"/>
      <c r="K28" s="2"/>
      <c r="L28" s="2"/>
    </row>
    <row r="29">
      <c r="A29" s="2"/>
      <c r="B29" s="2"/>
      <c r="C29" s="2"/>
      <c r="D29" s="2"/>
      <c r="E29" s="2"/>
      <c r="F29" s="2"/>
      <c r="G29" s="2"/>
      <c r="H29" s="2"/>
      <c r="I29" s="2"/>
      <c r="J29" s="2"/>
      <c r="K29" s="2"/>
      <c r="L29" s="2"/>
    </row>
    <row r="30">
      <c r="A30" s="2"/>
      <c r="B30" s="2"/>
      <c r="C30" s="2"/>
      <c r="D30" s="2"/>
      <c r="E30" s="2"/>
      <c r="F30" s="2"/>
      <c r="G30" s="2"/>
      <c r="H30" s="2"/>
      <c r="I30" s="2"/>
      <c r="J30" s="2"/>
      <c r="K30" s="2"/>
      <c r="L30" s="2"/>
    </row>
    <row r="31">
      <c r="A31" s="2"/>
      <c r="B31" s="2"/>
      <c r="C31" s="2"/>
      <c r="D31" s="2"/>
      <c r="E31" s="2"/>
      <c r="F31" s="2"/>
      <c r="G31" s="2"/>
      <c r="H31" s="2"/>
      <c r="I31" s="2"/>
      <c r="J31" s="2"/>
      <c r="K31" s="2"/>
      <c r="L31" s="2"/>
    </row>
    <row r="32">
      <c r="A32" s="2"/>
      <c r="B32" s="2"/>
      <c r="C32" s="2"/>
      <c r="D32" s="2"/>
      <c r="E32" s="2"/>
      <c r="F32" s="2"/>
      <c r="G32" s="2"/>
      <c r="H32" s="2"/>
      <c r="I32" s="2"/>
      <c r="J32" s="2"/>
      <c r="K32" s="2"/>
      <c r="L32" s="2"/>
    </row>
    <row r="33">
      <c r="A33" s="2"/>
      <c r="B33" s="2"/>
      <c r="C33" s="2"/>
      <c r="D33" s="2"/>
      <c r="E33" s="2"/>
      <c r="F33" s="2"/>
      <c r="G33" s="2"/>
      <c r="H33" s="2"/>
      <c r="I33" s="2"/>
      <c r="J33" s="2"/>
      <c r="K33" s="2"/>
      <c r="L33" s="2"/>
    </row>
    <row r="34">
      <c r="A34" s="2"/>
      <c r="B34" s="2"/>
      <c r="C34" s="2"/>
      <c r="D34" s="2"/>
      <c r="E34" s="2"/>
      <c r="F34" s="2"/>
      <c r="G34" s="2"/>
      <c r="H34" s="2"/>
      <c r="I34" s="2"/>
      <c r="J34" s="2"/>
      <c r="K34" s="2"/>
      <c r="L34" s="2"/>
    </row>
    <row r="35">
      <c r="A35" s="2"/>
      <c r="B35" s="2"/>
      <c r="C35" s="2"/>
      <c r="D35" s="2"/>
      <c r="E35" s="2"/>
      <c r="F35" s="2"/>
      <c r="G35" s="2"/>
      <c r="H35" s="2"/>
      <c r="I35" s="2"/>
      <c r="J35" s="2"/>
      <c r="K35" s="2"/>
      <c r="L35" s="2"/>
    </row>
    <row r="36">
      <c r="A36" s="2"/>
      <c r="B36" s="2"/>
      <c r="C36" s="2"/>
      <c r="D36" s="2"/>
      <c r="E36" s="2"/>
      <c r="F36" s="2"/>
      <c r="G36" s="2"/>
      <c r="H36" s="2"/>
      <c r="I36" s="2"/>
      <c r="J36" s="2"/>
      <c r="K36" s="2"/>
      <c r="L36" s="2"/>
    </row>
    <row r="37">
      <c r="A37" s="2"/>
      <c r="B37" s="2"/>
      <c r="C37" s="2"/>
      <c r="D37" s="2"/>
      <c r="E37" s="2"/>
      <c r="F37" s="2"/>
      <c r="G37" s="2"/>
      <c r="H37" s="2"/>
      <c r="I37" s="2"/>
      <c r="J37" s="2"/>
      <c r="K37" s="2"/>
      <c r="L37" s="2"/>
    </row>
    <row r="38">
      <c r="A38" s="2"/>
      <c r="B38" s="2"/>
      <c r="C38" s="2"/>
      <c r="D38" s="2"/>
      <c r="E38" s="2"/>
      <c r="F38" s="2"/>
      <c r="G38" s="2"/>
      <c r="H38" s="2"/>
      <c r="I38" s="2"/>
      <c r="J38" s="2"/>
      <c r="K38" s="2"/>
      <c r="L38" s="2"/>
    </row>
    <row r="39">
      <c r="A39" s="2"/>
      <c r="B39" s="2"/>
      <c r="C39" s="2"/>
      <c r="D39" s="2"/>
      <c r="E39" s="2"/>
      <c r="F39" s="2"/>
      <c r="G39" s="2"/>
      <c r="H39" s="2"/>
      <c r="I39" s="2"/>
      <c r="J39" s="2"/>
      <c r="K39" s="2"/>
      <c r="L39" s="2"/>
    </row>
    <row r="40">
      <c r="A40" s="2"/>
      <c r="B40" s="2"/>
      <c r="C40" s="2"/>
      <c r="D40" s="2"/>
      <c r="E40" s="2"/>
      <c r="F40" s="2"/>
      <c r="G40" s="2"/>
      <c r="H40" s="2"/>
      <c r="I40" s="2"/>
      <c r="J40" s="2"/>
      <c r="K40" s="2"/>
      <c r="L40" s="2"/>
    </row>
    <row r="41">
      <c r="A41" s="2"/>
      <c r="B41" s="2"/>
      <c r="C41" s="2"/>
      <c r="D41" s="2"/>
      <c r="E41" s="2"/>
      <c r="F41" s="2"/>
      <c r="G41" s="2"/>
      <c r="H41" s="2"/>
      <c r="I41" s="2"/>
      <c r="J41" s="2"/>
      <c r="K41" s="2"/>
      <c r="L41" s="2"/>
    </row>
    <row r="42">
      <c r="A42" s="2"/>
      <c r="B42" s="2"/>
      <c r="C42" s="2"/>
      <c r="D42" s="2"/>
      <c r="E42" s="2"/>
      <c r="F42" s="2"/>
      <c r="G42" s="2"/>
      <c r="H42" s="2"/>
      <c r="I42" s="2"/>
      <c r="J42" s="2"/>
      <c r="K42" s="2"/>
      <c r="L42" s="2"/>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row r="980">
      <c r="A980" s="2"/>
      <c r="B980" s="2"/>
      <c r="C980" s="2"/>
      <c r="D980" s="2"/>
      <c r="E980" s="2"/>
      <c r="F980" s="2"/>
      <c r="G980" s="2"/>
      <c r="H980" s="2"/>
      <c r="I980" s="2"/>
      <c r="J980" s="2"/>
      <c r="K980" s="2"/>
      <c r="L980" s="2"/>
    </row>
    <row r="981">
      <c r="A981" s="2"/>
      <c r="B981" s="2"/>
      <c r="C981" s="2"/>
      <c r="D981" s="2"/>
      <c r="E981" s="2"/>
      <c r="F981" s="2"/>
      <c r="G981" s="2"/>
      <c r="H981" s="2"/>
      <c r="I981" s="2"/>
      <c r="J981" s="2"/>
      <c r="K981" s="2"/>
      <c r="L981" s="2"/>
    </row>
    <row r="982">
      <c r="A982" s="2"/>
      <c r="B982" s="2"/>
      <c r="C982" s="2"/>
      <c r="D982" s="2"/>
      <c r="E982" s="2"/>
      <c r="F982" s="2"/>
      <c r="G982" s="2"/>
      <c r="H982" s="2"/>
      <c r="I982" s="2"/>
      <c r="J982" s="2"/>
      <c r="K982" s="2"/>
      <c r="L982" s="2"/>
    </row>
    <row r="983">
      <c r="A983" s="2"/>
      <c r="B983" s="2"/>
      <c r="C983" s="2"/>
      <c r="D983" s="2"/>
      <c r="E983" s="2"/>
      <c r="F983" s="2"/>
      <c r="G983" s="2"/>
      <c r="H983" s="2"/>
      <c r="I983" s="2"/>
      <c r="J983" s="2"/>
      <c r="K983" s="2"/>
      <c r="L983" s="2"/>
    </row>
    <row r="984">
      <c r="A984" s="2"/>
      <c r="B984" s="2"/>
      <c r="C984" s="2"/>
      <c r="D984" s="2"/>
      <c r="E984" s="2"/>
      <c r="F984" s="2"/>
      <c r="G984" s="2"/>
      <c r="H984" s="2"/>
      <c r="I984" s="2"/>
      <c r="J984" s="2"/>
      <c r="K984" s="2"/>
      <c r="L984" s="2"/>
    </row>
    <row r="985">
      <c r="A985" s="2"/>
      <c r="B985" s="2"/>
      <c r="C985" s="2"/>
      <c r="D985" s="2"/>
      <c r="E985" s="2"/>
      <c r="F985" s="2"/>
      <c r="G985" s="2"/>
      <c r="H985" s="2"/>
      <c r="I985" s="2"/>
      <c r="J985" s="2"/>
      <c r="K985" s="2"/>
      <c r="L985" s="2"/>
    </row>
    <row r="986">
      <c r="A986" s="2"/>
      <c r="B986" s="2"/>
      <c r="C986" s="2"/>
      <c r="D986" s="2"/>
      <c r="E986" s="2"/>
      <c r="F986" s="2"/>
      <c r="G986" s="2"/>
      <c r="H986" s="2"/>
      <c r="I986" s="2"/>
      <c r="J986" s="2"/>
      <c r="K986" s="2"/>
      <c r="L986" s="2"/>
    </row>
    <row r="987">
      <c r="A987" s="2"/>
      <c r="B987" s="2"/>
      <c r="C987" s="2"/>
      <c r="D987" s="2"/>
      <c r="E987" s="2"/>
      <c r="F987" s="2"/>
      <c r="G987" s="2"/>
      <c r="H987" s="2"/>
      <c r="I987" s="2"/>
      <c r="J987" s="2"/>
      <c r="K987" s="2"/>
      <c r="L987" s="2"/>
    </row>
    <row r="988">
      <c r="A988" s="2"/>
      <c r="B988" s="2"/>
      <c r="C988" s="2"/>
      <c r="D988" s="2"/>
      <c r="E988" s="2"/>
      <c r="F988" s="2"/>
      <c r="G988" s="2"/>
      <c r="H988" s="2"/>
      <c r="I988" s="2"/>
      <c r="J988" s="2"/>
      <c r="K988" s="2"/>
      <c r="L988" s="2"/>
    </row>
    <row r="989">
      <c r="A989" s="2"/>
      <c r="B989" s="2"/>
      <c r="C989" s="2"/>
      <c r="D989" s="2"/>
      <c r="E989" s="2"/>
      <c r="F989" s="2"/>
      <c r="G989" s="2"/>
      <c r="H989" s="2"/>
      <c r="I989" s="2"/>
      <c r="J989" s="2"/>
      <c r="K989" s="2"/>
      <c r="L989" s="2"/>
    </row>
    <row r="990">
      <c r="A990" s="2"/>
      <c r="B990" s="2"/>
      <c r="C990" s="2"/>
      <c r="D990" s="2"/>
      <c r="E990" s="2"/>
      <c r="F990" s="2"/>
      <c r="G990" s="2"/>
      <c r="H990" s="2"/>
      <c r="I990" s="2"/>
      <c r="J990" s="2"/>
      <c r="K990" s="2"/>
      <c r="L990" s="2"/>
    </row>
    <row r="991">
      <c r="A991" s="2"/>
      <c r="B991" s="2"/>
      <c r="C991" s="2"/>
      <c r="D991" s="2"/>
      <c r="E991" s="2"/>
      <c r="F991" s="2"/>
      <c r="G991" s="2"/>
      <c r="H991" s="2"/>
      <c r="I991" s="2"/>
      <c r="J991" s="2"/>
      <c r="K991" s="2"/>
      <c r="L991" s="2"/>
    </row>
    <row r="992">
      <c r="A992" s="2"/>
      <c r="B992" s="2"/>
      <c r="C992" s="2"/>
      <c r="D992" s="2"/>
      <c r="E992" s="2"/>
      <c r="F992" s="2"/>
      <c r="G992" s="2"/>
      <c r="H992" s="2"/>
      <c r="I992" s="2"/>
      <c r="J992" s="2"/>
      <c r="K992" s="2"/>
      <c r="L992" s="2"/>
    </row>
    <row r="993">
      <c r="A993" s="2"/>
      <c r="B993" s="2"/>
      <c r="C993" s="2"/>
      <c r="D993" s="2"/>
      <c r="E993" s="2"/>
      <c r="F993" s="2"/>
      <c r="G993" s="2"/>
      <c r="H993" s="2"/>
      <c r="I993" s="2"/>
      <c r="J993" s="2"/>
      <c r="K993" s="2"/>
      <c r="L993" s="2"/>
    </row>
    <row r="994">
      <c r="A994" s="2"/>
      <c r="B994" s="2"/>
      <c r="C994" s="2"/>
      <c r="D994" s="2"/>
      <c r="E994" s="2"/>
      <c r="F994" s="2"/>
      <c r="G994" s="2"/>
      <c r="H994" s="2"/>
      <c r="I994" s="2"/>
      <c r="J994" s="2"/>
      <c r="K994" s="2"/>
      <c r="L994" s="2"/>
    </row>
    <row r="995">
      <c r="A995" s="2"/>
      <c r="B995" s="2"/>
      <c r="C995" s="2"/>
      <c r="D995" s="2"/>
      <c r="E995" s="2"/>
      <c r="F995" s="2"/>
      <c r="G995" s="2"/>
      <c r="H995" s="2"/>
      <c r="I995" s="2"/>
      <c r="J995" s="2"/>
      <c r="K995" s="2"/>
      <c r="L995" s="2"/>
    </row>
    <row r="996">
      <c r="A996" s="2"/>
      <c r="B996" s="2"/>
      <c r="C996" s="2"/>
      <c r="D996" s="2"/>
      <c r="E996" s="2"/>
      <c r="F996" s="2"/>
      <c r="G996" s="2"/>
      <c r="H996" s="2"/>
      <c r="I996" s="2"/>
      <c r="J996" s="2"/>
      <c r="K996" s="2"/>
      <c r="L996" s="2"/>
    </row>
    <row r="997">
      <c r="A997" s="2"/>
      <c r="B997" s="2"/>
      <c r="C997" s="2"/>
      <c r="D997" s="2"/>
      <c r="E997" s="2"/>
      <c r="F997" s="2"/>
      <c r="G997" s="2"/>
      <c r="H997" s="2"/>
      <c r="I997" s="2"/>
      <c r="J997" s="2"/>
      <c r="K997" s="2"/>
      <c r="L997" s="2"/>
    </row>
    <row r="998">
      <c r="A998" s="2"/>
      <c r="B998" s="2"/>
      <c r="C998" s="2"/>
      <c r="D998" s="2"/>
      <c r="E998" s="2"/>
      <c r="F998" s="2"/>
      <c r="G998" s="2"/>
      <c r="H998" s="2"/>
      <c r="I998" s="2"/>
      <c r="J998" s="2"/>
      <c r="K998" s="2"/>
      <c r="L998" s="2"/>
    </row>
    <row r="999">
      <c r="A999" s="2"/>
      <c r="B999" s="2"/>
      <c r="C999" s="2"/>
      <c r="D999" s="2"/>
      <c r="E999" s="2"/>
      <c r="F999" s="2"/>
      <c r="G999" s="2"/>
      <c r="H999" s="2"/>
      <c r="I999" s="2"/>
      <c r="J999" s="2"/>
      <c r="K999" s="2"/>
      <c r="L999" s="2"/>
    </row>
    <row r="1000">
      <c r="A1000" s="2"/>
      <c r="B1000" s="2"/>
      <c r="C1000" s="2"/>
      <c r="D1000" s="2"/>
      <c r="E1000" s="2"/>
      <c r="F1000" s="2"/>
      <c r="G1000" s="2"/>
      <c r="H1000" s="2"/>
      <c r="I1000" s="2"/>
      <c r="J1000" s="2"/>
      <c r="K1000" s="2"/>
      <c r="L1000" s="2"/>
    </row>
  </sheetData>
  <drawing r:id="rId1"/>
</worksheet>
</file>